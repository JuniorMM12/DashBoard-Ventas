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juniormosquera/Documents/Practica Excel/"/>
    </mc:Choice>
  </mc:AlternateContent>
  <xr:revisionPtr revIDLastSave="0" documentId="13_ncr:1_{A029DAC1-8DAD-0C47-BB74-CA7CD85CA6DA}" xr6:coauthVersionLast="47" xr6:coauthVersionMax="47" xr10:uidLastSave="{00000000-0000-0000-0000-000000000000}"/>
  <bookViews>
    <workbookView xWindow="0" yWindow="500" windowWidth="38400" windowHeight="19700" activeTab="2" xr2:uid="{B4E16050-6D6A-49A1-83DA-C4CBD7B8666B}"/>
  </bookViews>
  <sheets>
    <sheet name="Sheet2" sheetId="10" r:id="rId1"/>
    <sheet name="Income Statement" sheetId="9" r:id="rId2"/>
    <sheet name="DashBoard" sheetId="14" r:id="rId3"/>
    <sheet name="Ventas x tienda" sheetId="6" r:id="rId4"/>
    <sheet name="Ventas" sheetId="3" r:id="rId5"/>
    <sheet name="G Venta x vendedor" sheetId="12" r:id="rId6"/>
    <sheet name="Ventas x vendedor" sheetId="5" r:id="rId7"/>
    <sheet name="Registro clientes" sheetId="8" r:id="rId8"/>
    <sheet name="G Gastos mensuales" sheetId="13" r:id="rId9"/>
    <sheet name="Gastos mensuales" sheetId="7" r:id="rId10"/>
  </sheets>
  <externalReferences>
    <externalReference r:id="rId11"/>
  </externalReferences>
  <definedNames>
    <definedName name="_xlnm._FilterDatabase" localSheetId="4" hidden="1">Ventas!$A$1:$A$184</definedName>
    <definedName name="JR_PAGE_ANCHOR_0_1">[1]Ventas!#REF!</definedName>
    <definedName name="Slicer_Mes">#N/A</definedName>
    <definedName name="Slicer_Nombre">#N/A</definedName>
  </definedNames>
  <calcPr calcId="191029"/>
  <pivotCaches>
    <pivotCache cacheId="3" r:id="rId12"/>
    <pivotCache cacheId="4" r:id="rId13"/>
    <pivotCache cacheId="5"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4" l="1"/>
  <c r="C48" i="14" s="1"/>
  <c r="D40" i="14"/>
  <c r="D41" i="14"/>
  <c r="D42" i="14"/>
  <c r="D43" i="14"/>
  <c r="D44" i="14"/>
  <c r="E40" i="14"/>
  <c r="F40" i="14"/>
  <c r="G40" i="14"/>
  <c r="O41" i="14"/>
  <c r="O42" i="14"/>
  <c r="O43" i="14"/>
  <c r="O44" i="14"/>
  <c r="O40" i="14"/>
  <c r="L40" i="14"/>
  <c r="L41" i="14"/>
  <c r="M41" i="14"/>
  <c r="N41" i="14"/>
  <c r="L42" i="14"/>
  <c r="M42" i="14"/>
  <c r="N42" i="14"/>
  <c r="L43" i="14"/>
  <c r="M43" i="14"/>
  <c r="N43" i="14"/>
  <c r="L44" i="14"/>
  <c r="M44" i="14"/>
  <c r="N44" i="14"/>
  <c r="M40" i="14"/>
  <c r="N40" i="14"/>
  <c r="K40" i="14"/>
  <c r="H40" i="14"/>
  <c r="E41" i="14"/>
  <c r="F41" i="14"/>
  <c r="G41" i="14"/>
  <c r="H41" i="14"/>
  <c r="K41" i="14"/>
  <c r="E42" i="14"/>
  <c r="F42" i="14"/>
  <c r="G42" i="14"/>
  <c r="H42" i="14"/>
  <c r="K42" i="14"/>
  <c r="E43" i="14"/>
  <c r="F43" i="14"/>
  <c r="G43" i="14"/>
  <c r="H43" i="14"/>
  <c r="K43" i="14"/>
  <c r="E44" i="14"/>
  <c r="F44" i="14"/>
  <c r="G44" i="14"/>
  <c r="H44" i="14"/>
  <c r="K44" i="14"/>
  <c r="M2" i="3"/>
  <c r="N4" i="3" s="1"/>
  <c r="N3" i="7"/>
  <c r="J3" i="7"/>
  <c r="J4" i="7"/>
  <c r="N2"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2" i="3"/>
  <c r="E9" i="9"/>
  <c r="E10" i="9"/>
  <c r="E11" i="9"/>
  <c r="E12" i="9"/>
  <c r="E13" i="9"/>
  <c r="E14" i="9"/>
  <c r="E15" i="9"/>
  <c r="E16" i="9"/>
  <c r="E8" i="9"/>
  <c r="B8" i="9"/>
  <c r="N48" i="14" l="1" a="1"/>
  <c r="N48" i="14" s="1"/>
  <c r="M48" i="14" a="1"/>
  <c r="M48" i="14" s="1"/>
  <c r="F48" i="14" a="1"/>
  <c r="F48" i="14" s="1"/>
  <c r="H48" i="14" a="1"/>
  <c r="H48" i="14" s="1"/>
  <c r="C26" i="14" s="1"/>
  <c r="G48" i="14" a="1"/>
  <c r="G48" i="14" s="1"/>
  <c r="L48" i="14" a="1"/>
  <c r="L48" i="14" s="1"/>
  <c r="D48" i="14" a="1"/>
  <c r="D48" i="14" s="1"/>
  <c r="C24" i="14" s="1"/>
  <c r="E48" i="14" a="1"/>
  <c r="E48" i="14" s="1"/>
  <c r="O48" i="14" a="1"/>
  <c r="O48" i="14" s="1"/>
  <c r="N45" i="14"/>
  <c r="D45" i="14"/>
  <c r="I41" i="14"/>
  <c r="J41" i="14" s="1"/>
  <c r="I42" i="14"/>
  <c r="I43" i="14"/>
  <c r="J43" i="14" s="1"/>
  <c r="M45" i="14"/>
  <c r="I44" i="14"/>
  <c r="J44" i="14" s="1"/>
  <c r="K48" i="14" s="1" a="1"/>
  <c r="K48" i="14" s="1"/>
  <c r="I40" i="14"/>
  <c r="J40" i="14" s="1"/>
  <c r="E45" i="14"/>
  <c r="O45" i="14"/>
  <c r="F45" i="14"/>
  <c r="H45" i="14"/>
  <c r="K45" i="14"/>
  <c r="L45" i="14"/>
  <c r="G45" i="14"/>
  <c r="M4" i="3"/>
  <c r="E17" i="9"/>
  <c r="B3" i="9"/>
  <c r="I48" i="14" l="1" a="1"/>
  <c r="I48" i="14" s="1"/>
  <c r="C25" i="14" s="1"/>
  <c r="J42" i="14"/>
  <c r="J48" i="14" s="1" a="1"/>
  <c r="J48" i="14" s="1"/>
  <c r="C27" i="14" s="1"/>
  <c r="I45" i="14"/>
  <c r="J45" i="14" s="1"/>
  <c r="B4" i="9"/>
  <c r="B5" i="9" l="1"/>
  <c r="B22" i="9" s="1"/>
  <c r="F4" i="9"/>
  <c r="E4" i="9" s="1"/>
  <c r="E5" i="9" s="1"/>
  <c r="B10" i="9"/>
  <c r="B11" i="9"/>
  <c r="B12" i="9"/>
  <c r="B13" i="9"/>
  <c r="B14" i="9"/>
  <c r="B15" i="9"/>
  <c r="B16" i="9"/>
  <c r="B9" i="9"/>
  <c r="G3" i="7"/>
  <c r="G4" i="7"/>
  <c r="G5" i="7"/>
  <c r="G6" i="7"/>
  <c r="G7" i="7"/>
  <c r="G8" i="7"/>
  <c r="G9" i="7"/>
  <c r="G10" i="7"/>
  <c r="G2" i="7"/>
  <c r="B17" i="9" l="1"/>
  <c r="B23" i="9" s="1"/>
  <c r="E18" i="9"/>
  <c r="E21" i="9" s="1"/>
  <c r="E22" i="9"/>
  <c r="E23" i="9" s="1"/>
  <c r="B18" i="9" l="1"/>
  <c r="B21"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<sst xmlns="http://schemas.openxmlformats.org/spreadsheetml/2006/main" count="210" uniqueCount="120">
  <si>
    <t>Vendedor</t>
  </si>
  <si>
    <t>Nombre Cliente</t>
  </si>
  <si>
    <t>Tienda</t>
  </si>
  <si>
    <t>Fecha de compra</t>
  </si>
  <si>
    <t>Requiere factura</t>
  </si>
  <si>
    <t>Forma de pago</t>
  </si>
  <si>
    <t>Teléfono</t>
  </si>
  <si>
    <t>Fecha</t>
  </si>
  <si>
    <t>Ventas totales</t>
  </si>
  <si>
    <t>Ventas efectivo</t>
  </si>
  <si>
    <t>Ventas tarjeta</t>
  </si>
  <si>
    <t>Ventas transferencia</t>
  </si>
  <si>
    <t>Utilidad</t>
  </si>
  <si>
    <t>Tickets</t>
  </si>
  <si>
    <t>enero</t>
  </si>
  <si>
    <t>febrero</t>
  </si>
  <si>
    <t>marzo</t>
  </si>
  <si>
    <t>abril</t>
  </si>
  <si>
    <t>mayo</t>
  </si>
  <si>
    <t>V-0001-JuanLopez</t>
  </si>
  <si>
    <t>V-0002-MariaGonzález</t>
  </si>
  <si>
    <t>V-0003-SandraBlanco</t>
  </si>
  <si>
    <t>V-0004-JoseRomero</t>
  </si>
  <si>
    <t>V-0005-RobertoMartinez</t>
  </si>
  <si>
    <t>V</t>
  </si>
  <si>
    <t>JuanLopez</t>
  </si>
  <si>
    <t>MariaGonzález</t>
  </si>
  <si>
    <t>SandraBlanco</t>
  </si>
  <si>
    <t>JoseRomero</t>
  </si>
  <si>
    <t>RobertoMartinez</t>
  </si>
  <si>
    <t>Rol</t>
  </si>
  <si>
    <t>Id</t>
  </si>
  <si>
    <t>Nombre</t>
  </si>
  <si>
    <t>Mes</t>
  </si>
  <si>
    <t>Año</t>
  </si>
  <si>
    <t>Total</t>
  </si>
  <si>
    <t>Tienda 1</t>
  </si>
  <si>
    <t>Tienda 2</t>
  </si>
  <si>
    <t>Tienda 3</t>
  </si>
  <si>
    <t>Enero</t>
  </si>
  <si>
    <t>Febrero</t>
  </si>
  <si>
    <t>Marzo</t>
  </si>
  <si>
    <t>Abril</t>
  </si>
  <si>
    <t>Mayo</t>
  </si>
  <si>
    <t>Renta</t>
  </si>
  <si>
    <t>Etiquetas</t>
  </si>
  <si>
    <t>2908.12</t>
  </si>
  <si>
    <t>3887.16</t>
  </si>
  <si>
    <t>Internet</t>
  </si>
  <si>
    <t>Flete pedido</t>
  </si>
  <si>
    <t>2623.5</t>
  </si>
  <si>
    <t>Redes sociales</t>
  </si>
  <si>
    <t>Sistema</t>
  </si>
  <si>
    <t>660.75</t>
  </si>
  <si>
    <t>Sueldos</t>
  </si>
  <si>
    <t>Otros gastos</t>
  </si>
  <si>
    <t>Mantenimiento</t>
  </si>
  <si>
    <t>Si</t>
  </si>
  <si>
    <t>Ingreso ventas</t>
  </si>
  <si>
    <t>Costo ventas</t>
  </si>
  <si>
    <t>Utilidad bruta</t>
  </si>
  <si>
    <t>Gastos operativos</t>
  </si>
  <si>
    <t>Utilidad operativa</t>
  </si>
  <si>
    <t>Utilidad neta</t>
  </si>
  <si>
    <t>818.</t>
  </si>
  <si>
    <t>Punto de equlibrio</t>
  </si>
  <si>
    <t>Margen de contribucion</t>
  </si>
  <si>
    <t>Row Labels</t>
  </si>
  <si>
    <t>Grand Total</t>
  </si>
  <si>
    <t>Jan</t>
  </si>
  <si>
    <t>Feb</t>
  </si>
  <si>
    <t>Mar</t>
  </si>
  <si>
    <t>Apr</t>
  </si>
  <si>
    <t>May</t>
  </si>
  <si>
    <t>Sum of Ventas totales</t>
  </si>
  <si>
    <t>Sum of Ventas totales2</t>
  </si>
  <si>
    <t>Sum of Tickets</t>
  </si>
  <si>
    <t>(Multiple Items)</t>
  </si>
  <si>
    <t>Sum of Cost</t>
  </si>
  <si>
    <t>Sum of % de utilidad</t>
  </si>
  <si>
    <t>Sum of enero</t>
  </si>
  <si>
    <t>Sum of febrero</t>
  </si>
  <si>
    <t>Junior Mosquera</t>
  </si>
  <si>
    <t>Junio</t>
  </si>
  <si>
    <t>Sum of Febrero</t>
  </si>
  <si>
    <t>Sum of Enero</t>
  </si>
  <si>
    <t>Sum of Marzo</t>
  </si>
  <si>
    <t>Ventas totales por mes</t>
  </si>
  <si>
    <t>Dia</t>
  </si>
  <si>
    <t>Ventas totales por dia</t>
  </si>
  <si>
    <t>Monday</t>
  </si>
  <si>
    <t>Tuesday</t>
  </si>
  <si>
    <t>Wednesday</t>
  </si>
  <si>
    <t>Thursday</t>
  </si>
  <si>
    <t>Friday</t>
  </si>
  <si>
    <t>Saturday</t>
  </si>
  <si>
    <t>Sunday</t>
  </si>
  <si>
    <t>January</t>
  </si>
  <si>
    <t>February</t>
  </si>
  <si>
    <t>March</t>
  </si>
  <si>
    <t>April</t>
  </si>
  <si>
    <t>June</t>
  </si>
  <si>
    <t>July</t>
  </si>
  <si>
    <t>August</t>
  </si>
  <si>
    <t>September</t>
  </si>
  <si>
    <t>October</t>
  </si>
  <si>
    <t>November</t>
  </si>
  <si>
    <t>December</t>
  </si>
  <si>
    <t>Concepto</t>
  </si>
  <si>
    <t>mes</t>
  </si>
  <si>
    <t>Gasto</t>
  </si>
  <si>
    <t>Resumen de ventas del año</t>
  </si>
  <si>
    <t>Gastos</t>
  </si>
  <si>
    <t>Número de mes</t>
  </si>
  <si>
    <t>Costo de venta</t>
  </si>
  <si>
    <t>margen contribución</t>
  </si>
  <si>
    <t>Resumen de ventas del mes</t>
  </si>
  <si>
    <t>Ventas mensuales</t>
  </si>
  <si>
    <t>Costo</t>
  </si>
  <si>
    <t>Margen contribucion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</si>
</sst>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quot;$&quot;#,##0"/>
  </numFmts>
  <fonts count="8" x14ac:knownFonts="1">
    <font>
      <sz val="11"/>
      <color theme="1"/>
      <name val="Calibri"/>
      <family val="2"/>
      <scheme val="minor"/>
    </font>
    <font>
      <sz val="12"/>
      <color theme="1"/>
      <name val="Calibri"/>
      <family val="2"/>
      <scheme val="minor"/>
    </font>
    <font>
      <b/>
      <sz val="11"/>
      <color theme="1"/>
      <name val="Calibri"/>
      <family val="2"/>
      <scheme val="minor"/>
    </font>
    <font>
      <sz val="8"/>
      <name val="Calibri"/>
      <family val="2"/>
      <scheme val="minor"/>
    </font>
    <font>
      <sz val="10"/>
      <color rgb="FF000000"/>
      <name val="Calibri"/>
      <family val="2"/>
      <scheme val="minor"/>
    </font>
    <font>
      <sz val="11"/>
      <color theme="1"/>
      <name val="Calibri"/>
      <family val="2"/>
      <scheme val="minor"/>
    </font>
    <font>
      <sz val="12"/>
      <color theme="0"/>
      <name val="Calibri"/>
      <family val="2"/>
      <scheme val="minor"/>
    </font>
    <font>
      <sz val="11"/>
      <color theme="0"/>
      <name val="Calibri"/>
      <family val="2"/>
      <scheme val="minor"/>
    </font>
  </fonts>
  <fills count="9">
    <fill>
      <patternFill patternType="none"/>
    </fill>
    <fill>
      <patternFill patternType="gray125"/>
    </fill>
    <fill>
      <patternFill patternType="solid">
        <fgColor theme="8" tint="0.79998168889431442"/>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0" tint="-0.249977111117893"/>
        <bgColor indexed="64"/>
      </patternFill>
    </fill>
  </fills>
  <borders count="2">
    <border>
      <left/>
      <right/>
      <top/>
      <bottom/>
      <diagonal/>
    </border>
    <border>
      <left/>
      <right/>
      <top style="thin">
        <color indexed="64"/>
      </top>
      <bottom/>
      <diagonal/>
    </border>
  </borders>
  <cellStyleXfs count="4">
    <xf numFmtId="0" fontId="0" fillId="0" borderId="0"/>
    <xf numFmtId="0" fontId="4" fillId="0" borderId="0"/>
    <xf numFmtId="42" fontId="5" fillId="0" borderId="0" applyFont="0" applyFill="0" applyBorder="0" applyAlignment="0" applyProtection="0"/>
    <xf numFmtId="9" fontId="5" fillId="0" borderId="0" applyFont="0" applyFill="0" applyBorder="0" applyAlignment="0" applyProtection="0"/>
  </cellStyleXfs>
  <cellXfs count="33">
    <xf numFmtId="0" fontId="0" fillId="0" borderId="0" xfId="0"/>
    <xf numFmtId="0" fontId="2" fillId="2" borderId="0" xfId="0" applyFont="1" applyFill="1" applyAlignment="1">
      <alignment horizontal="center"/>
    </xf>
    <xf numFmtId="15" fontId="0" fillId="0" borderId="0" xfId="0" applyNumberFormat="1"/>
    <xf numFmtId="3" fontId="0" fillId="0" borderId="0" xfId="0" applyNumberFormat="1"/>
    <xf numFmtId="14" fontId="0" fillId="0" borderId="0" xfId="0" applyNumberFormat="1"/>
    <xf numFmtId="42" fontId="0" fillId="0" borderId="0" xfId="0" applyNumberFormat="1"/>
    <xf numFmtId="0" fontId="2" fillId="3" borderId="0" xfId="0" applyFont="1" applyFill="1"/>
    <xf numFmtId="164" fontId="0" fillId="0" borderId="0" xfId="0" applyNumberFormat="1"/>
    <xf numFmtId="42" fontId="0" fillId="0" borderId="0" xfId="2" applyFont="1"/>
    <xf numFmtId="42" fontId="2" fillId="3" borderId="0" xfId="2" applyFont="1" applyFill="1"/>
    <xf numFmtId="0" fontId="0" fillId="4" borderId="0" xfId="0" applyFill="1"/>
    <xf numFmtId="164" fontId="0" fillId="4" borderId="0" xfId="0" applyNumberFormat="1" applyFill="1"/>
    <xf numFmtId="0" fontId="0" fillId="5" borderId="0" xfId="0" applyFill="1"/>
    <xf numFmtId="164" fontId="0" fillId="5" borderId="0" xfId="0" applyNumberFormat="1" applyFill="1"/>
    <xf numFmtId="9" fontId="0" fillId="0" borderId="0" xfId="3" applyFon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9" fontId="0" fillId="0" borderId="0" xfId="0" applyNumberFormat="1"/>
    <xf numFmtId="0" fontId="0" fillId="6" borderId="0" xfId="0" applyFill="1"/>
    <xf numFmtId="0" fontId="1" fillId="0" borderId="0" xfId="0" applyFont="1" applyAlignment="1">
      <alignment wrapText="1"/>
    </xf>
    <xf numFmtId="0" fontId="6" fillId="7" borderId="0" xfId="0" applyFont="1" applyFill="1" applyAlignment="1">
      <alignment wrapText="1"/>
    </xf>
    <xf numFmtId="0" fontId="7" fillId="7" borderId="0" xfId="0" applyFont="1" applyFill="1"/>
    <xf numFmtId="0" fontId="1" fillId="0" borderId="1" xfId="0" applyFont="1" applyBorder="1" applyAlignment="1">
      <alignment wrapText="1"/>
    </xf>
    <xf numFmtId="1" fontId="0" fillId="0" borderId="1" xfId="0" applyNumberFormat="1" applyBorder="1"/>
    <xf numFmtId="42" fontId="0" fillId="0" borderId="1" xfId="0" applyNumberFormat="1" applyBorder="1"/>
    <xf numFmtId="0" fontId="1" fillId="8" borderId="0" xfId="0" applyFont="1" applyFill="1" applyAlignment="1">
      <alignment wrapText="1"/>
    </xf>
    <xf numFmtId="42" fontId="1" fillId="8" borderId="0" xfId="0" applyNumberFormat="1" applyFont="1" applyFill="1" applyAlignment="1">
      <alignment wrapText="1"/>
    </xf>
    <xf numFmtId="9" fontId="1" fillId="8" borderId="0" xfId="3" applyFont="1" applyFill="1" applyAlignment="1">
      <alignment wrapText="1"/>
    </xf>
    <xf numFmtId="1" fontId="1" fillId="8" borderId="0" xfId="0" applyNumberFormat="1" applyFont="1" applyFill="1" applyAlignment="1">
      <alignment wrapText="1"/>
    </xf>
    <xf numFmtId="0" fontId="1" fillId="0" borderId="0" xfId="0" applyFont="1"/>
    <xf numFmtId="0" fontId="1" fillId="6" borderId="0" xfId="0" applyFont="1" applyFill="1" applyAlignment="1">
      <alignment horizontal="center" wrapText="1"/>
    </xf>
  </cellXfs>
  <cellStyles count="4">
    <cellStyle name="Currency [0]" xfId="2" builtinId="7"/>
    <cellStyle name="Normal" xfId="0" builtinId="0"/>
    <cellStyle name="Normal 3" xfId="1" xr:uid="{8F53062A-67EE-41F0-AC5B-03CBEEF10C8A}"/>
    <cellStyle name="Percent" xfId="3" builtinId="5"/>
  </cellStyles>
  <dxfs count="42">
    <dxf>
      <numFmt numFmtId="32" formatCode="_-&quot;$&quot;* #,##0_-;\-&quot;$&quot;* #,##0_-;_-&quot;$&quot;*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3" formatCode="#,##0"/>
    </dxf>
    <dxf>
      <numFmt numFmtId="3" formatCode="#,##0"/>
    </dxf>
    <dxf>
      <numFmt numFmtId="3" formatCode="#,##0"/>
    </dxf>
    <dxf>
      <numFmt numFmtId="3" formatCode="#,##0"/>
    </dxf>
    <dxf>
      <numFmt numFmtId="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 formatCode="0"/>
    </dxf>
    <dxf>
      <numFmt numFmtId="1" formatCode="0"/>
    </dxf>
    <dxf>
      <numFmt numFmtId="19" formatCode="d/mm/yy"/>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00B0F0"/>
        </patternFill>
      </fill>
    </dxf>
    <dxf>
      <numFmt numFmtId="32" formatCode="_-&quot;$&quot;* #,##0_-;\-&quot;$&quot;* #,##0_-;_-&quot;$&quot;* &quot;-&quot;_-;_-@_-"/>
    </dxf>
    <dxf>
      <numFmt numFmtId="32" formatCode="_-&quot;$&quot;* #,##0_-;\-&quot;$&quot;* #,##0_-;_-&quot;$&quot;* &quot;-&quot;_-;_-@_-"/>
    </dxf>
    <dxf>
      <numFmt numFmtId="32" formatCode="_-&quot;$&quot;* #,##0_-;\-&quot;$&quot;* #,##0_-;_-&quot;$&quot;* &quot;-&quot;_-;_-@_-"/>
    </dxf>
    <dxf>
      <numFmt numFmtId="32" formatCode="_-&quot;$&quot;* #,##0_-;\-&quot;$&quot;* #,##0_-;_-&quot;$&quot;* &quot;-&quot;_-;_-@_-"/>
    </dxf>
    <dxf>
      <numFmt numFmtId="1" formatCode="0"/>
    </dxf>
    <dxf>
      <font>
        <b val="0"/>
        <i val="0"/>
        <strike val="0"/>
        <condense val="0"/>
        <extend val="0"/>
        <outline val="0"/>
        <shadow val="0"/>
        <u val="none"/>
        <vertAlign val="baseline"/>
        <sz val="11"/>
        <color theme="1"/>
        <name val="Calibri"/>
        <family val="2"/>
        <scheme val="minor"/>
      </font>
    </dxf>
    <dxf>
      <numFmt numFmtId="32" formatCode="_-&quot;$&quot;* #,##0_-;\-&quot;$&quot;* #,##0_-;_-&quot;$&quot;* &quot;-&quot;_-;_-@_-"/>
    </dxf>
    <dxf>
      <numFmt numFmtId="32" formatCode="_-&quot;$&quot;* #,##0_-;\-&quot;$&quot;* #,##0_-;_-&quot;$&quot;* &quot;-&quot;_-;_-@_-"/>
    </dxf>
    <dxf>
      <numFmt numFmtId="32" formatCode="_-&quot;$&quot;* #,##0_-;\-&quot;$&quot;* #,##0_-;_-&quot;$&quot;* &quot;-&quot;_-;_-@_-"/>
    </dxf>
    <dxf>
      <numFmt numFmtId="32" formatCode="_-&quot;$&quot;* #,##0_-;\-&quot;$&quot;* #,##0_-;_-&quot;$&quot;* &quot;-&quot;_-;_-@_-"/>
    </dxf>
    <dxf>
      <numFmt numFmtId="32" formatCode="_-&quot;$&quot;* #,##0_-;\-&quot;$&quot;* #,##0_-;_-&quot;$&quot;* &quot;-&quot;_-;_-@_-"/>
    </dxf>
    <dxf>
      <numFmt numFmtId="32" formatCode="_-&quot;$&quot;* #,##0_-;\-&quot;$&quot;* #,##0_-;_-&quot;$&quot;* &quot;-&quot;_-;_-@_-"/>
    </dxf>
    <dxf>
      <numFmt numFmtId="1" formatCode="0"/>
    </dxf>
    <dxf>
      <font>
        <b val="0"/>
        <i val="0"/>
        <strike val="0"/>
        <condense val="0"/>
        <extend val="0"/>
        <outline val="0"/>
        <shadow val="0"/>
        <u val="none"/>
        <vertAlign val="baseline"/>
        <sz val="11"/>
        <color theme="0"/>
        <name val="Calibri"/>
        <family val="2"/>
        <scheme val="minor"/>
      </font>
      <fill>
        <patternFill patternType="solid">
          <fgColor indexed="64"/>
          <bgColor theme="4" tint="-0.249977111117893"/>
        </patternFill>
      </fill>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4" formatCode="0.00%"/>
    </dxf>
    <dxf>
      <numFmt numFmtId="32"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spPr>
            <a:solidFill>
              <a:schemeClr val="accent1"/>
            </a:solidFill>
            <a:ln>
              <a:noFill/>
            </a:ln>
            <a:effectLst/>
          </c:spPr>
          <c:invertIfNegative val="0"/>
          <c:cat>
            <c:strRef>
              <c:f>DashBoard!$B$24:$B$27</c:f>
              <c:strCache>
                <c:ptCount val="4"/>
                <c:pt idx="0">
                  <c:v>Ventas mensuales</c:v>
                </c:pt>
                <c:pt idx="1">
                  <c:v>Costo</c:v>
                </c:pt>
                <c:pt idx="2">
                  <c:v>Utilidad</c:v>
                </c:pt>
                <c:pt idx="3">
                  <c:v>Margen contribucion</c:v>
                </c:pt>
              </c:strCache>
            </c:strRef>
          </c:cat>
          <c:val>
            <c:numRef>
              <c:f>DashBoard!$C$24:$C$27</c:f>
              <c:numCache>
                <c:formatCode>_("$"* #,##0_);_("$"* \(#,##0\);_("$"* "-"_);_(@_)</c:formatCode>
                <c:ptCount val="4"/>
                <c:pt idx="0">
                  <c:v>133186</c:v>
                </c:pt>
                <c:pt idx="1">
                  <c:v>54487</c:v>
                </c:pt>
                <c:pt idx="2">
                  <c:v>78699</c:v>
                </c:pt>
                <c:pt idx="3" formatCode="0%">
                  <c:v>0.40910456053939603</c:v>
                </c:pt>
              </c:numCache>
            </c:numRef>
          </c:val>
          <c:extLst>
            <c:ext xmlns:c16="http://schemas.microsoft.com/office/drawing/2014/chart" uri="{C3380CC4-5D6E-409C-BE32-E72D297353CC}">
              <c16:uniqueId val="{00000000-94F4-744D-900C-3629054F7230}"/>
            </c:ext>
          </c:extLst>
        </c:ser>
        <c:dLbls>
          <c:showLegendKey val="0"/>
          <c:showVal val="0"/>
          <c:showCatName val="0"/>
          <c:showSerName val="0"/>
          <c:showPercent val="0"/>
          <c:showBubbleSize val="0"/>
        </c:dLbls>
        <c:gapWidth val="219"/>
        <c:overlap val="-27"/>
        <c:axId val="343867552"/>
        <c:axId val="343869712"/>
      </c:barChart>
      <c:catAx>
        <c:axId val="3438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343869712"/>
        <c:crosses val="autoZero"/>
        <c:auto val="1"/>
        <c:lblAlgn val="ctr"/>
        <c:lblOffset val="100"/>
        <c:noMultiLvlLbl val="0"/>
      </c:catAx>
      <c:valAx>
        <c:axId val="3438697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343867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tx>
            <c:strRef>
              <c:f>DashBoard!$L$39</c:f>
              <c:strCache>
                <c:ptCount val="1"/>
                <c:pt idx="0">
                  <c:v>Tienda 1</c:v>
                </c:pt>
              </c:strCache>
            </c:strRef>
          </c:tx>
          <c:spPr>
            <a:solidFill>
              <a:schemeClr val="accent1"/>
            </a:solidFill>
            <a:ln>
              <a:noFill/>
            </a:ln>
            <a:effectLst/>
          </c:spPr>
          <c:invertIfNegative val="0"/>
          <c:val>
            <c:numRef>
              <c:f>DashBoard!$L$48</c:f>
              <c:numCache>
                <c:formatCode>_("$"* #,##0_);_("$"* \(#,##0\);_("$"* "-"_);_(@_)</c:formatCode>
                <c:ptCount val="1"/>
                <c:pt idx="0">
                  <c:v>43116</c:v>
                </c:pt>
              </c:numCache>
            </c:numRef>
          </c:val>
          <c:extLst>
            <c:ext xmlns:c16="http://schemas.microsoft.com/office/drawing/2014/chart" uri="{C3380CC4-5D6E-409C-BE32-E72D297353CC}">
              <c16:uniqueId val="{00000000-3661-9D4E-8866-CDAC67C31383}"/>
            </c:ext>
          </c:extLst>
        </c:ser>
        <c:ser>
          <c:idx val="1"/>
          <c:order val="1"/>
          <c:tx>
            <c:strRef>
              <c:f>DashBoard!$M$39</c:f>
              <c:strCache>
                <c:ptCount val="1"/>
                <c:pt idx="0">
                  <c:v>Tienda 2</c:v>
                </c:pt>
              </c:strCache>
            </c:strRef>
          </c:tx>
          <c:spPr>
            <a:solidFill>
              <a:schemeClr val="accent2"/>
            </a:solidFill>
            <a:ln>
              <a:noFill/>
            </a:ln>
            <a:effectLst/>
          </c:spPr>
          <c:invertIfNegative val="0"/>
          <c:val>
            <c:numRef>
              <c:f>DashBoard!$M$48</c:f>
              <c:numCache>
                <c:formatCode>_("$"* #,##0_);_("$"* \(#,##0\);_("$"* "-"_);_(@_)</c:formatCode>
                <c:ptCount val="1"/>
                <c:pt idx="0">
                  <c:v>34493</c:v>
                </c:pt>
              </c:numCache>
            </c:numRef>
          </c:val>
          <c:extLst>
            <c:ext xmlns:c16="http://schemas.microsoft.com/office/drawing/2014/chart" uri="{C3380CC4-5D6E-409C-BE32-E72D297353CC}">
              <c16:uniqueId val="{00000001-3661-9D4E-8866-CDAC67C31383}"/>
            </c:ext>
          </c:extLst>
        </c:ser>
        <c:ser>
          <c:idx val="2"/>
          <c:order val="2"/>
          <c:tx>
            <c:strRef>
              <c:f>DashBoard!$N$39</c:f>
              <c:strCache>
                <c:ptCount val="1"/>
                <c:pt idx="0">
                  <c:v>Tienda 3</c:v>
                </c:pt>
              </c:strCache>
            </c:strRef>
          </c:tx>
          <c:spPr>
            <a:solidFill>
              <a:schemeClr val="accent3"/>
            </a:solidFill>
            <a:ln>
              <a:noFill/>
            </a:ln>
            <a:effectLst/>
          </c:spPr>
          <c:invertIfNegative val="0"/>
          <c:val>
            <c:numRef>
              <c:f>DashBoard!$N$48</c:f>
              <c:numCache>
                <c:formatCode>_("$"* #,##0_);_("$"* \(#,##0\);_("$"* "-"_);_(@_)</c:formatCode>
                <c:ptCount val="1"/>
                <c:pt idx="0">
                  <c:v>48092</c:v>
                </c:pt>
              </c:numCache>
            </c:numRef>
          </c:val>
          <c:extLst>
            <c:ext xmlns:c16="http://schemas.microsoft.com/office/drawing/2014/chart" uri="{C3380CC4-5D6E-409C-BE32-E72D297353CC}">
              <c16:uniqueId val="{00000002-3661-9D4E-8866-CDAC67C31383}"/>
            </c:ext>
          </c:extLst>
        </c:ser>
        <c:dLbls>
          <c:showLegendKey val="0"/>
          <c:showVal val="0"/>
          <c:showCatName val="0"/>
          <c:showSerName val="0"/>
          <c:showPercent val="0"/>
          <c:showBubbleSize val="0"/>
        </c:dLbls>
        <c:gapWidth val="150"/>
        <c:axId val="343505040"/>
        <c:axId val="343741120"/>
      </c:barChart>
      <c:catAx>
        <c:axId val="343505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343741120"/>
        <c:crosses val="autoZero"/>
        <c:auto val="1"/>
        <c:lblAlgn val="ctr"/>
        <c:lblOffset val="100"/>
        <c:noMultiLvlLbl val="0"/>
      </c:catAx>
      <c:valAx>
        <c:axId val="3437411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34350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barChart>
        <c:barDir val="col"/>
        <c:grouping val="clustered"/>
        <c:varyColors val="0"/>
        <c:ser>
          <c:idx val="0"/>
          <c:order val="0"/>
          <c:tx>
            <c:strRef>
              <c:f>DashBoard!$D$39</c:f>
              <c:strCache>
                <c:ptCount val="1"/>
                <c:pt idx="0">
                  <c:v>Ventas totales</c:v>
                </c:pt>
              </c:strCache>
            </c:strRef>
          </c:tx>
          <c:spPr>
            <a:solidFill>
              <a:schemeClr val="accent1"/>
            </a:solidFill>
            <a:ln>
              <a:noFill/>
            </a:ln>
            <a:effectLst/>
          </c:spPr>
          <c:invertIfNegative val="0"/>
          <c:cat>
            <c:strRef>
              <c:f>DashBoard!$B$40:$B$44</c:f>
              <c:strCache>
                <c:ptCount val="5"/>
                <c:pt idx="0">
                  <c:v>Enero</c:v>
                </c:pt>
                <c:pt idx="1">
                  <c:v>Febrero</c:v>
                </c:pt>
                <c:pt idx="2">
                  <c:v>Marzo</c:v>
                </c:pt>
                <c:pt idx="3">
                  <c:v>Abril</c:v>
                </c:pt>
                <c:pt idx="4">
                  <c:v>Mayo</c:v>
                </c:pt>
              </c:strCache>
            </c:strRef>
          </c:cat>
          <c:val>
            <c:numRef>
              <c:f>DashBoard!$D$40:$D$44</c:f>
              <c:numCache>
                <c:formatCode>_("$"* #,##0_);_("$"* \(#,##0\);_("$"* "-"_);_(@_)</c:formatCode>
                <c:ptCount val="5"/>
                <c:pt idx="0">
                  <c:v>123177</c:v>
                </c:pt>
                <c:pt idx="1">
                  <c:v>110673</c:v>
                </c:pt>
                <c:pt idx="2">
                  <c:v>121412</c:v>
                </c:pt>
                <c:pt idx="3">
                  <c:v>118542</c:v>
                </c:pt>
                <c:pt idx="4">
                  <c:v>133186</c:v>
                </c:pt>
              </c:numCache>
            </c:numRef>
          </c:val>
          <c:extLst>
            <c:ext xmlns:c16="http://schemas.microsoft.com/office/drawing/2014/chart" uri="{C3380CC4-5D6E-409C-BE32-E72D297353CC}">
              <c16:uniqueId val="{00000000-C5E7-914F-B351-94910ED19812}"/>
            </c:ext>
          </c:extLst>
        </c:ser>
        <c:dLbls>
          <c:showLegendKey val="0"/>
          <c:showVal val="0"/>
          <c:showCatName val="0"/>
          <c:showSerName val="0"/>
          <c:showPercent val="0"/>
          <c:showBubbleSize val="0"/>
        </c:dLbls>
        <c:gapWidth val="219"/>
        <c:overlap val="-27"/>
        <c:axId val="602606144"/>
        <c:axId val="602608416"/>
      </c:barChart>
      <c:catAx>
        <c:axId val="60260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02608416"/>
        <c:crosses val="autoZero"/>
        <c:auto val="1"/>
        <c:lblAlgn val="ctr"/>
        <c:lblOffset val="100"/>
        <c:noMultiLvlLbl val="0"/>
      </c:catAx>
      <c:valAx>
        <c:axId val="6026084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0260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O"/>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DashBoard!$B$40:$B$44</c:f>
              <c:strCache>
                <c:ptCount val="5"/>
                <c:pt idx="0">
                  <c:v>Enero</c:v>
                </c:pt>
                <c:pt idx="1">
                  <c:v>Febrero</c:v>
                </c:pt>
                <c:pt idx="2">
                  <c:v>Marzo</c:v>
                </c:pt>
                <c:pt idx="3">
                  <c:v>Abril</c:v>
                </c:pt>
                <c:pt idx="4">
                  <c:v>Mayo</c:v>
                </c:pt>
              </c:strCache>
            </c:strRef>
          </c:cat>
          <c:val>
            <c:numRef>
              <c:f>DashBoard!$H$40:$H$44</c:f>
              <c:numCache>
                <c:formatCode>_("$"* #,##0_);_("$"* \(#,##0\);_("$"* "-"_);_(@_)</c:formatCode>
                <c:ptCount val="5"/>
                <c:pt idx="0">
                  <c:v>66878</c:v>
                </c:pt>
                <c:pt idx="1">
                  <c:v>59979</c:v>
                </c:pt>
                <c:pt idx="2">
                  <c:v>57121</c:v>
                </c:pt>
                <c:pt idx="3">
                  <c:v>70708</c:v>
                </c:pt>
                <c:pt idx="4">
                  <c:v>78699</c:v>
                </c:pt>
              </c:numCache>
            </c:numRef>
          </c:val>
          <c:smooth val="0"/>
          <c:extLst>
            <c:ext xmlns:c16="http://schemas.microsoft.com/office/drawing/2014/chart" uri="{C3380CC4-5D6E-409C-BE32-E72D297353CC}">
              <c16:uniqueId val="{00000000-6EEC-564D-9874-397875CC0E2D}"/>
            </c:ext>
          </c:extLst>
        </c:ser>
        <c:dLbls>
          <c:dLblPos val="ctr"/>
          <c:showLegendKey val="0"/>
          <c:showVal val="1"/>
          <c:showCatName val="0"/>
          <c:showSerName val="0"/>
          <c:showPercent val="0"/>
          <c:showBubbleSize val="0"/>
        </c:dLbls>
        <c:smooth val="0"/>
        <c:axId val="602685776"/>
        <c:axId val="602688480"/>
      </c:lineChart>
      <c:catAx>
        <c:axId val="60268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02688480"/>
        <c:crosses val="autoZero"/>
        <c:auto val="1"/>
        <c:lblAlgn val="ctr"/>
        <c:lblOffset val="100"/>
        <c:noMultiLvlLbl val="0"/>
      </c:catAx>
      <c:valAx>
        <c:axId val="6026884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60268577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[ventas_38342120-ccbb-4443-97d8-90b55379e64f.xlsx]G Venta x vendedor!PivotTable1</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 Venta x vendedor'!$B$1</c:f>
              <c:strCache>
                <c:ptCount val="1"/>
                <c:pt idx="0">
                  <c:v>Sum of enero</c:v>
                </c:pt>
              </c:strCache>
            </c:strRef>
          </c:tx>
          <c:spPr>
            <a:noFill/>
            <a:ln w="25400" cap="flat" cmpd="sng" algn="ctr">
              <a:solidFill>
                <a:schemeClr val="accent1"/>
              </a:solidFill>
              <a:miter lim="800000"/>
            </a:ln>
            <a:effectLst/>
          </c:spPr>
          <c:invertIfNegative val="0"/>
          <c:cat>
            <c:strRef>
              <c:f>'G Venta x vendedor'!$A$2:$A$8</c:f>
              <c:strCache>
                <c:ptCount val="6"/>
                <c:pt idx="0">
                  <c:v>JoseRomero</c:v>
                </c:pt>
                <c:pt idx="1">
                  <c:v>JuanLopez</c:v>
                </c:pt>
                <c:pt idx="2">
                  <c:v>MariaGonzález</c:v>
                </c:pt>
                <c:pt idx="3">
                  <c:v>RobertoMartinez</c:v>
                </c:pt>
                <c:pt idx="4">
                  <c:v>SandraBlanco</c:v>
                </c:pt>
                <c:pt idx="5">
                  <c:v>Junior Mosquera</c:v>
                </c:pt>
              </c:strCache>
            </c:strRef>
          </c:cat>
          <c:val>
            <c:numRef>
              <c:f>'G Venta x vendedor'!$B$2:$B$8</c:f>
              <c:numCache>
                <c:formatCode>General</c:formatCode>
                <c:ptCount val="6"/>
                <c:pt idx="0">
                  <c:v>221743836</c:v>
                </c:pt>
                <c:pt idx="1">
                  <c:v>283339346</c:v>
                </c:pt>
                <c:pt idx="2">
                  <c:v>147829224</c:v>
                </c:pt>
                <c:pt idx="3">
                  <c:v>30797755</c:v>
                </c:pt>
                <c:pt idx="4">
                  <c:v>271020244</c:v>
                </c:pt>
                <c:pt idx="5">
                  <c:v>103994</c:v>
                </c:pt>
              </c:numCache>
            </c:numRef>
          </c:val>
          <c:extLst>
            <c:ext xmlns:c16="http://schemas.microsoft.com/office/drawing/2014/chart" uri="{C3380CC4-5D6E-409C-BE32-E72D297353CC}">
              <c16:uniqueId val="{00000000-4500-F14C-B05F-BDC6E88CED20}"/>
            </c:ext>
          </c:extLst>
        </c:ser>
        <c:ser>
          <c:idx val="1"/>
          <c:order val="1"/>
          <c:tx>
            <c:strRef>
              <c:f>'G Venta x vendedor'!$C$1</c:f>
              <c:strCache>
                <c:ptCount val="1"/>
                <c:pt idx="0">
                  <c:v>Sum of febrero</c:v>
                </c:pt>
              </c:strCache>
            </c:strRef>
          </c:tx>
          <c:spPr>
            <a:noFill/>
            <a:ln w="25400" cap="flat" cmpd="sng" algn="ctr">
              <a:solidFill>
                <a:schemeClr val="accent2"/>
              </a:solidFill>
              <a:miter lim="800000"/>
            </a:ln>
            <a:effectLst/>
          </c:spPr>
          <c:invertIfNegative val="0"/>
          <c:cat>
            <c:strRef>
              <c:f>'G Venta x vendedor'!$A$2:$A$8</c:f>
              <c:strCache>
                <c:ptCount val="6"/>
                <c:pt idx="0">
                  <c:v>JoseRomero</c:v>
                </c:pt>
                <c:pt idx="1">
                  <c:v>JuanLopez</c:v>
                </c:pt>
                <c:pt idx="2">
                  <c:v>MariaGonzález</c:v>
                </c:pt>
                <c:pt idx="3">
                  <c:v>RobertoMartinez</c:v>
                </c:pt>
                <c:pt idx="4">
                  <c:v>SandraBlanco</c:v>
                </c:pt>
                <c:pt idx="5">
                  <c:v>Junior Mosquera</c:v>
                </c:pt>
              </c:strCache>
            </c:strRef>
          </c:cat>
          <c:val>
            <c:numRef>
              <c:f>'G Venta x vendedor'!$C$2:$C$8</c:f>
              <c:numCache>
                <c:formatCode>General</c:formatCode>
                <c:ptCount val="6"/>
                <c:pt idx="0">
                  <c:v>232445724</c:v>
                </c:pt>
                <c:pt idx="1">
                  <c:v>215842458</c:v>
                </c:pt>
                <c:pt idx="2">
                  <c:v>199239192</c:v>
                </c:pt>
                <c:pt idx="3">
                  <c:v>204773614</c:v>
                </c:pt>
                <c:pt idx="4">
                  <c:v>254583412</c:v>
                </c:pt>
                <c:pt idx="5">
                  <c:v>43434545</c:v>
                </c:pt>
              </c:numCache>
            </c:numRef>
          </c:val>
          <c:extLst>
            <c:ext xmlns:c16="http://schemas.microsoft.com/office/drawing/2014/chart" uri="{C3380CC4-5D6E-409C-BE32-E72D297353CC}">
              <c16:uniqueId val="{00000006-4500-F14C-B05F-BDC6E88CED20}"/>
            </c:ext>
          </c:extLst>
        </c:ser>
        <c:dLbls>
          <c:showLegendKey val="0"/>
          <c:showVal val="0"/>
          <c:showCatName val="0"/>
          <c:showSerName val="0"/>
          <c:showPercent val="0"/>
          <c:showBubbleSize val="0"/>
        </c:dLbls>
        <c:gapWidth val="164"/>
        <c:overlap val="-35"/>
        <c:axId val="2053393264"/>
        <c:axId val="2053395536"/>
      </c:barChart>
      <c:catAx>
        <c:axId val="2053393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CO"/>
          </a:p>
        </c:txPr>
        <c:crossAx val="2053395536"/>
        <c:crosses val="autoZero"/>
        <c:auto val="1"/>
        <c:lblAlgn val="ctr"/>
        <c:lblOffset val="100"/>
        <c:noMultiLvlLbl val="0"/>
      </c:catAx>
      <c:valAx>
        <c:axId val="205339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CO"/>
          </a:p>
        </c:txPr>
        <c:crossAx val="205339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[ventas_38342120-ccbb-4443-97d8-90b55379e64f.xlsx]G Gastos mensuales!PivotTable3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6.4814814814814811E-2"/>
          <c:w val="0.64305293088363957"/>
          <c:h val="0.66915354330708665"/>
        </c:manualLayout>
      </c:layout>
      <c:barChart>
        <c:barDir val="col"/>
        <c:grouping val="clustered"/>
        <c:varyColors val="0"/>
        <c:ser>
          <c:idx val="0"/>
          <c:order val="0"/>
          <c:tx>
            <c:strRef>
              <c:f>'G Gastos mensuales'!$B$1</c:f>
              <c:strCache>
                <c:ptCount val="1"/>
                <c:pt idx="0">
                  <c:v>Sum of Enero</c:v>
                </c:pt>
              </c:strCache>
            </c:strRef>
          </c:tx>
          <c:spPr>
            <a:solidFill>
              <a:schemeClr val="accent1"/>
            </a:solidFill>
            <a:ln>
              <a:noFill/>
            </a:ln>
            <a:effectLst/>
          </c:spPr>
          <c:invertIfNegative val="0"/>
          <c:cat>
            <c:strRef>
              <c:f>'G Gastos mensuales'!$A$2:$A$11</c:f>
              <c:strCache>
                <c:ptCount val="9"/>
                <c:pt idx="0">
                  <c:v>Etiquetas</c:v>
                </c:pt>
                <c:pt idx="1">
                  <c:v>Flete pedido</c:v>
                </c:pt>
                <c:pt idx="2">
                  <c:v>Internet</c:v>
                </c:pt>
                <c:pt idx="3">
                  <c:v>Mantenimiento</c:v>
                </c:pt>
                <c:pt idx="4">
                  <c:v>Otros gastos</c:v>
                </c:pt>
                <c:pt idx="5">
                  <c:v>Redes sociales</c:v>
                </c:pt>
                <c:pt idx="6">
                  <c:v>Renta</c:v>
                </c:pt>
                <c:pt idx="7">
                  <c:v>Sistema</c:v>
                </c:pt>
                <c:pt idx="8">
                  <c:v>Sueldos</c:v>
                </c:pt>
              </c:strCache>
            </c:strRef>
          </c:cat>
          <c:val>
            <c:numRef>
              <c:f>'G Gastos mensuales'!$B$2:$B$11</c:f>
              <c:numCache>
                <c:formatCode>General</c:formatCode>
                <c:ptCount val="9"/>
                <c:pt idx="0">
                  <c:v>2336</c:v>
                </c:pt>
                <c:pt idx="1">
                  <c:v>2433</c:v>
                </c:pt>
                <c:pt idx="2">
                  <c:v>550</c:v>
                </c:pt>
                <c:pt idx="3">
                  <c:v>152</c:v>
                </c:pt>
                <c:pt idx="4">
                  <c:v>305</c:v>
                </c:pt>
                <c:pt idx="5">
                  <c:v>0</c:v>
                </c:pt>
                <c:pt idx="6">
                  <c:v>9280</c:v>
                </c:pt>
                <c:pt idx="7">
                  <c:v>0</c:v>
                </c:pt>
                <c:pt idx="8">
                  <c:v>13100</c:v>
                </c:pt>
              </c:numCache>
            </c:numRef>
          </c:val>
          <c:extLst>
            <c:ext xmlns:c16="http://schemas.microsoft.com/office/drawing/2014/chart" uri="{C3380CC4-5D6E-409C-BE32-E72D297353CC}">
              <c16:uniqueId val="{00000000-E364-EF49-8A49-BE8FD6E5009D}"/>
            </c:ext>
          </c:extLst>
        </c:ser>
        <c:ser>
          <c:idx val="1"/>
          <c:order val="1"/>
          <c:tx>
            <c:strRef>
              <c:f>'G Gastos mensuales'!$C$1</c:f>
              <c:strCache>
                <c:ptCount val="1"/>
                <c:pt idx="0">
                  <c:v>Sum of Febrero</c:v>
                </c:pt>
              </c:strCache>
            </c:strRef>
          </c:tx>
          <c:spPr>
            <a:solidFill>
              <a:schemeClr val="accent2"/>
            </a:solidFill>
            <a:ln>
              <a:noFill/>
            </a:ln>
            <a:effectLst/>
          </c:spPr>
          <c:invertIfNegative val="0"/>
          <c:cat>
            <c:strRef>
              <c:f>'G Gastos mensuales'!$A$2:$A$11</c:f>
              <c:strCache>
                <c:ptCount val="9"/>
                <c:pt idx="0">
                  <c:v>Etiquetas</c:v>
                </c:pt>
                <c:pt idx="1">
                  <c:v>Flete pedido</c:v>
                </c:pt>
                <c:pt idx="2">
                  <c:v>Internet</c:v>
                </c:pt>
                <c:pt idx="3">
                  <c:v>Mantenimiento</c:v>
                </c:pt>
                <c:pt idx="4">
                  <c:v>Otros gastos</c:v>
                </c:pt>
                <c:pt idx="5">
                  <c:v>Redes sociales</c:v>
                </c:pt>
                <c:pt idx="6">
                  <c:v>Renta</c:v>
                </c:pt>
                <c:pt idx="7">
                  <c:v>Sistema</c:v>
                </c:pt>
                <c:pt idx="8">
                  <c:v>Sueldos</c:v>
                </c:pt>
              </c:strCache>
            </c:strRef>
          </c:cat>
          <c:val>
            <c:numRef>
              <c:f>'G Gastos mensuales'!$C$2:$C$11</c:f>
              <c:numCache>
                <c:formatCode>General</c:formatCode>
                <c:ptCount val="9"/>
                <c:pt idx="0">
                  <c:v>0</c:v>
                </c:pt>
                <c:pt idx="1">
                  <c:v>2684</c:v>
                </c:pt>
                <c:pt idx="2">
                  <c:v>550</c:v>
                </c:pt>
                <c:pt idx="3">
                  <c:v>119</c:v>
                </c:pt>
                <c:pt idx="4">
                  <c:v>381</c:v>
                </c:pt>
                <c:pt idx="5">
                  <c:v>2500</c:v>
                </c:pt>
                <c:pt idx="6">
                  <c:v>9280</c:v>
                </c:pt>
                <c:pt idx="7">
                  <c:v>0</c:v>
                </c:pt>
                <c:pt idx="8">
                  <c:v>13050</c:v>
                </c:pt>
              </c:numCache>
            </c:numRef>
          </c:val>
          <c:extLst>
            <c:ext xmlns:c16="http://schemas.microsoft.com/office/drawing/2014/chart" uri="{C3380CC4-5D6E-409C-BE32-E72D297353CC}">
              <c16:uniqueId val="{00000002-E364-EF49-8A49-BE8FD6E5009D}"/>
            </c:ext>
          </c:extLst>
        </c:ser>
        <c:ser>
          <c:idx val="2"/>
          <c:order val="2"/>
          <c:tx>
            <c:strRef>
              <c:f>'G Gastos mensuales'!$D$1</c:f>
              <c:strCache>
                <c:ptCount val="1"/>
                <c:pt idx="0">
                  <c:v>Sum of Marzo</c:v>
                </c:pt>
              </c:strCache>
            </c:strRef>
          </c:tx>
          <c:spPr>
            <a:solidFill>
              <a:schemeClr val="accent3"/>
            </a:solidFill>
            <a:ln>
              <a:noFill/>
            </a:ln>
            <a:effectLst/>
          </c:spPr>
          <c:invertIfNegative val="0"/>
          <c:cat>
            <c:strRef>
              <c:f>'G Gastos mensuales'!$A$2:$A$11</c:f>
              <c:strCache>
                <c:ptCount val="9"/>
                <c:pt idx="0">
                  <c:v>Etiquetas</c:v>
                </c:pt>
                <c:pt idx="1">
                  <c:v>Flete pedido</c:v>
                </c:pt>
                <c:pt idx="2">
                  <c:v>Internet</c:v>
                </c:pt>
                <c:pt idx="3">
                  <c:v>Mantenimiento</c:v>
                </c:pt>
                <c:pt idx="4">
                  <c:v>Otros gastos</c:v>
                </c:pt>
                <c:pt idx="5">
                  <c:v>Redes sociales</c:v>
                </c:pt>
                <c:pt idx="6">
                  <c:v>Renta</c:v>
                </c:pt>
                <c:pt idx="7">
                  <c:v>Sistema</c:v>
                </c:pt>
                <c:pt idx="8">
                  <c:v>Sueldos</c:v>
                </c:pt>
              </c:strCache>
            </c:strRef>
          </c:cat>
          <c:val>
            <c:numRef>
              <c:f>'G Gastos mensuales'!$D$2:$D$11</c:f>
              <c:numCache>
                <c:formatCode>General</c:formatCode>
                <c:ptCount val="9"/>
                <c:pt idx="0">
                  <c:v>2397</c:v>
                </c:pt>
                <c:pt idx="1">
                  <c:v>2240</c:v>
                </c:pt>
                <c:pt idx="2">
                  <c:v>550</c:v>
                </c:pt>
                <c:pt idx="3">
                  <c:v>290</c:v>
                </c:pt>
                <c:pt idx="4">
                  <c:v>62</c:v>
                </c:pt>
                <c:pt idx="5">
                  <c:v>2500</c:v>
                </c:pt>
                <c:pt idx="6">
                  <c:v>9260</c:v>
                </c:pt>
                <c:pt idx="7">
                  <c:v>660</c:v>
                </c:pt>
                <c:pt idx="8">
                  <c:v>15760</c:v>
                </c:pt>
              </c:numCache>
            </c:numRef>
          </c:val>
          <c:extLst>
            <c:ext xmlns:c16="http://schemas.microsoft.com/office/drawing/2014/chart" uri="{C3380CC4-5D6E-409C-BE32-E72D297353CC}">
              <c16:uniqueId val="{00000003-E364-EF49-8A49-BE8FD6E5009D}"/>
            </c:ext>
          </c:extLst>
        </c:ser>
        <c:dLbls>
          <c:showLegendKey val="0"/>
          <c:showVal val="0"/>
          <c:showCatName val="0"/>
          <c:showSerName val="0"/>
          <c:showPercent val="0"/>
          <c:showBubbleSize val="0"/>
        </c:dLbls>
        <c:gapWidth val="219"/>
        <c:overlap val="-27"/>
        <c:axId val="2023375344"/>
        <c:axId val="2023377072"/>
      </c:barChart>
      <c:catAx>
        <c:axId val="202337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2023377072"/>
        <c:crosses val="autoZero"/>
        <c:auto val="1"/>
        <c:lblAlgn val="ctr"/>
        <c:lblOffset val="100"/>
        <c:noMultiLvlLbl val="0"/>
      </c:catAx>
      <c:valAx>
        <c:axId val="202337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20233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268432</xdr:colOff>
      <xdr:row>20</xdr:row>
      <xdr:rowOff>201467</xdr:rowOff>
    </xdr:from>
    <xdr:to>
      <xdr:col>7</xdr:col>
      <xdr:colOff>19242</xdr:colOff>
      <xdr:row>32</xdr:row>
      <xdr:rowOff>182802</xdr:rowOff>
    </xdr:to>
    <xdr:graphicFrame macro="">
      <xdr:nvGraphicFramePr>
        <xdr:cNvPr id="3" name="Chart 2">
          <a:extLst>
            <a:ext uri="{FF2B5EF4-FFF2-40B4-BE49-F238E27FC236}">
              <a16:creationId xmlns:a16="http://schemas.microsoft.com/office/drawing/2014/main" id="{695A9062-6CA4-6555-FDE3-D1187BF5A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326158</xdr:colOff>
      <xdr:row>20</xdr:row>
      <xdr:rowOff>191847</xdr:rowOff>
    </xdr:from>
    <xdr:to>
      <xdr:col>12</xdr:col>
      <xdr:colOff>144318</xdr:colOff>
      <xdr:row>33</xdr:row>
      <xdr:rowOff>0</xdr:rowOff>
    </xdr:to>
    <xdr:graphicFrame macro="">
      <xdr:nvGraphicFramePr>
        <xdr:cNvPr id="4" name="Chart 3">
          <a:extLst>
            <a:ext uri="{FF2B5EF4-FFF2-40B4-BE49-F238E27FC236}">
              <a16:creationId xmlns:a16="http://schemas.microsoft.com/office/drawing/2014/main" id="{34FE4412-47F6-BD15-21AA-FA06A9B78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27901</xdr:colOff>
      <xdr:row>2</xdr:row>
      <xdr:rowOff>182226</xdr:rowOff>
    </xdr:from>
    <xdr:to>
      <xdr:col>4</xdr:col>
      <xdr:colOff>318462</xdr:colOff>
      <xdr:row>16</xdr:row>
      <xdr:rowOff>96789</xdr:rowOff>
    </xdr:to>
    <xdr:graphicFrame macro="">
      <xdr:nvGraphicFramePr>
        <xdr:cNvPr id="5" name="Chart 4">
          <a:extLst>
            <a:ext uri="{FF2B5EF4-FFF2-40B4-BE49-F238E27FC236}">
              <a16:creationId xmlns:a16="http://schemas.microsoft.com/office/drawing/2014/main" id="{7E628820-2B80-5D4D-A44D-91F40FDBD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470478</xdr:colOff>
      <xdr:row>2</xdr:row>
      <xdr:rowOff>172604</xdr:rowOff>
    </xdr:from>
    <xdr:to>
      <xdr:col>8</xdr:col>
      <xdr:colOff>693690</xdr:colOff>
      <xdr:row>16</xdr:row>
      <xdr:rowOff>87167</xdr:rowOff>
    </xdr:to>
    <xdr:graphicFrame macro="">
      <xdr:nvGraphicFramePr>
        <xdr:cNvPr id="6" name="Chart 5">
          <a:extLst>
            <a:ext uri="{FF2B5EF4-FFF2-40B4-BE49-F238E27FC236}">
              <a16:creationId xmlns:a16="http://schemas.microsoft.com/office/drawing/2014/main" id="{3201AD17-F5F2-EA8D-0832-1C1983DF9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7FEAAEE7-D764-79E0-29F9-85FDDA113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787400</xdr:colOff>
      <xdr:row>2</xdr:row>
      <xdr:rowOff>50800</xdr:rowOff>
    </xdr:from>
    <xdr:to>
      <xdr:col>13</xdr:col>
      <xdr:colOff>139700</xdr:colOff>
      <xdr:row>15</xdr:row>
      <xdr:rowOff>3169</xdr:rowOff>
    </xdr:to>
    <mc:AlternateContent xmlns:mc="http://schemas.openxmlformats.org/markup-compatibility/2006" xmlns:a14="http://schemas.microsoft.com/office/drawing/2010/main">
      <mc:Choice Requires="a14">
        <xdr:graphicFrame macro="">
          <xdr:nvGraphicFramePr>
            <xdr:cNvPr id="3" name="Nombre">
              <a:extLst>
                <a:ext uri="{FF2B5EF4-FFF2-40B4-BE49-F238E27FC236}">
                  <a16:creationId xmlns:a16="http://schemas.microsoft.com/office/drawing/2014/main" id="{1564FB85-7DD1-477D-5A9A-539556DE5A4E}"/>
                </a:ext>
              </a:extLst>
            </xdr:cNvPr>
            <xdr:cNvGraphicFramePr/>
          </xdr:nvGraphicFramePr>
          <xdr:xfrm>
            <a:off x="0" y="0"/>
            <a:ext cx="0" cy="0"/>
          </xdr:xfrm>
          <a:graphic>
            <a:graphicData uri="http://schemas.microsoft.com/office/drawing/2010/slicer">
              <sle:slicer xmlns:sle="http://schemas.microsoft.com/office/drawing/2010/slicer" name="Nombre"/>
            </a:graphicData>
          </a:graphic>
        </xdr:graphicFrame>
      </mc:Choice>
      <mc:Fallback xmlns="">
        <xdr:sp macro="" textlink="">
          <xdr:nvSpPr>
            <xdr:cNvPr id="0" name=""/>
            <xdr:cNvSpPr>
              <a:spLocks noTextEdit="1"/>
            </xdr:cNvSpPr>
          </xdr:nvSpPr>
          <xdr:spPr>
            <a:xfrm>
              <a:off x="9461500" y="431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368300</xdr:colOff>
      <xdr:row>1</xdr:row>
      <xdr:rowOff>0</xdr:rowOff>
    </xdr:from>
    <xdr:to>
      <xdr:col>10</xdr:col>
      <xdr:colOff>812800</xdr:colOff>
      <xdr:row>15</xdr:row>
      <xdr:rowOff>76200</xdr:rowOff>
    </xdr:to>
    <xdr:graphicFrame macro="">
      <xdr:nvGraphicFramePr>
        <xdr:cNvPr id="2" name="Chart 1">
          <a:extLst>
            <a:ext uri="{FF2B5EF4-FFF2-40B4-BE49-F238E27FC236}">
              <a16:creationId xmlns:a16="http://schemas.microsoft.com/office/drawing/2014/main" id="{A613CD47-0416-A750-A0BB-A7FF73B05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922216</xdr:colOff>
      <xdr:row>13</xdr:row>
      <xdr:rowOff>36146</xdr:rowOff>
    </xdr:from>
    <xdr:to>
      <xdr:col>2</xdr:col>
      <xdr:colOff>914401</xdr:colOff>
      <xdr:row>25</xdr:row>
      <xdr:rowOff>120400</xdr:rowOff>
    </xdr:to>
    <mc:AlternateContent xmlns:mc="http://schemas.openxmlformats.org/markup-compatibility/2006" xmlns:a14="http://schemas.microsoft.com/office/drawing/2010/main">
      <mc:Choice Requires="a14">
        <xdr:graphicFrame macro="">
          <xdr:nvGraphicFramePr>
            <xdr:cNvPr id="3" name="Mes">
              <a:extLst>
                <a:ext uri="{FF2B5EF4-FFF2-40B4-BE49-F238E27FC236}">
                  <a16:creationId xmlns:a16="http://schemas.microsoft.com/office/drawing/2014/main" id="{A62D8E0B-5093-D940-191D-45117FAF58CC}"/>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mlns="">
        <xdr:sp macro="" textlink="">
          <xdr:nvSpPr>
            <xdr:cNvPr id="0" name=""/>
            <xdr:cNvSpPr>
              <a:spLocks noTextEdit="1"/>
            </xdr:cNvSpPr>
          </xdr:nvSpPr>
          <xdr:spPr>
            <a:xfrm>
              <a:off x="922216" y="2576146"/>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amp/Dropbox/La%20Cosmetiqueria/15.%20Contabilidad/4.%20Finanzas%20Cosme/220530%20P&amp;L%20COSM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Resumen Ingresos mensual"/>
      <sheetName val="Gastos"/>
      <sheetName val="Movimientos"/>
      <sheetName val="Santander"/>
      <sheetName val="Resumen Ingresos diarios"/>
      <sheetName val="Sheet2"/>
      <sheetName val="Ventas diarias"/>
      <sheetName val="Utilidades - Ventas Por Semanas"/>
      <sheetName val="Ventas"/>
      <sheetName val="Sheet1"/>
      <sheetName val="Key"/>
    </sheetNames>
    <sheetDataSet>
      <sheetData sheetId="0"/>
      <sheetData sheetId="1"/>
      <sheetData sheetId="2"/>
      <sheetData sheetId="3"/>
      <sheetData sheetId="4"/>
      <sheetData sheetId="5"/>
      <sheetData sheetId="6"/>
      <sheetData sheetId="7">
        <row r="2">
          <cell r="C2" t="str">
            <v>Fecha</v>
          </cell>
        </row>
      </sheetData>
      <sheetData sheetId="8">
        <row r="1">
          <cell r="E1">
            <v>1</v>
          </cell>
        </row>
      </sheetData>
      <sheetData sheetId="9"/>
      <sheetData sheetId="10"/>
      <sheetData sheetId="11">
        <row r="3">
          <cell r="B3">
            <v>1</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or Mosquera" refreshedDate="45069.31089108796" createdVersion="8" refreshedVersion="8" minRefreshableVersion="3" recordCount="151" xr:uid="{64AA95A7-8F97-9344-9D86-B88B4AF8608D}">
  <cacheSource type="worksheet">
    <worksheetSource ref="A1:I152" sheet="Ventas"/>
  </cacheSource>
  <cacheFields count="10">
    <cacheField name="Fecha" numFmtId="14">
      <sharedItems containsSemiMixedTypes="0" containsNonDate="0" containsDate="1" containsString="0" minDate="2022-01-01T00:00:00" maxDate="2022-06-01T00:00:00" count="15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7" base="0">
        <rangePr groupBy="days" startDate="2022-01-01T00:00:00" endDate="2022-06-01T00:00:00"/>
        <groupItems count="368">
          <s v="&lt;1/01/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6/22"/>
        </groupItems>
      </fieldGroup>
    </cacheField>
    <cacheField name="Ventas totales" numFmtId="42">
      <sharedItems containsSemiMixedTypes="0" containsString="0" containsNumber="1" containsInteger="1" minValue="0" maxValue="4594945" count="150">
        <n v="0"/>
        <n v="3574"/>
        <n v="4942"/>
        <n v="5551"/>
        <n v="6001"/>
        <n v="4118"/>
        <n v="5649"/>
        <n v="5302"/>
        <n v="3478"/>
        <n v="7573"/>
        <n v="4226"/>
        <n v="4172"/>
        <n v="3580"/>
        <n v="3503"/>
        <n v="6727"/>
        <n v="3620"/>
        <n v="3178"/>
        <n v="3765"/>
        <n v="3966"/>
        <n v="3706"/>
        <n v="2753"/>
        <n v="6177"/>
        <n v="2919"/>
        <n v="3034"/>
        <n v="2491"/>
        <n v="1881"/>
        <n v="2533"/>
        <n v="4445"/>
        <n v="3152"/>
        <n v="2940"/>
        <n v="4221"/>
        <n v="4717"/>
        <n v="4845"/>
        <n v="3418"/>
        <n v="3483"/>
        <n v="4180"/>
        <n v="2630"/>
        <n v="2654"/>
        <n v="1405"/>
        <n v="3204"/>
        <n v="3167"/>
        <n v="2384"/>
        <n v="4758"/>
        <n v="2562"/>
        <n v="2791"/>
        <n v="6054"/>
        <n v="4255"/>
        <n v="4820"/>
        <n v="2980"/>
        <n v="5728"/>
        <n v="5559"/>
        <n v="4966"/>
        <n v="4648"/>
        <n v="3440"/>
        <n v="4088"/>
        <n v="2918"/>
        <n v="7506"/>
        <n v="3184"/>
        <n v="4329"/>
        <n v="6669"/>
        <n v="2966"/>
        <n v="6080"/>
        <n v="3690"/>
        <n v="5746"/>
        <n v="3095"/>
        <n v="3740"/>
        <n v="5725"/>
        <n v="2361"/>
        <n v="3606"/>
        <n v="4566"/>
        <n v="2883"/>
        <n v="1853"/>
        <n v="5483"/>
        <n v="5135"/>
        <n v="3445"/>
        <n v="4681"/>
        <n v="4252"/>
        <n v="3686"/>
        <n v="3334"/>
        <n v="3020"/>
        <n v="1648"/>
        <n v="2574"/>
        <n v="2477"/>
        <n v="4972"/>
        <n v="5208"/>
        <n v="1700"/>
        <n v="4589"/>
        <n v="3952"/>
        <n v="2922"/>
        <n v="5354"/>
        <n v="10255"/>
        <n v="3892"/>
        <n v="1394"/>
        <n v="2904"/>
        <n v="3552"/>
        <n v="4385"/>
        <n v="4999"/>
        <n v="4886"/>
        <n v="2396"/>
        <n v="3934"/>
        <n v="7285"/>
        <n v="7784"/>
        <n v="2113"/>
        <n v="2323"/>
        <n v="2517"/>
        <n v="3773"/>
        <n v="4332"/>
        <n v="4677"/>
        <n v="7803"/>
        <n v="4054"/>
        <n v="3629"/>
        <n v="2972"/>
        <n v="1497"/>
        <n v="3894"/>
        <n v="2496"/>
        <n v="2155"/>
        <n v="3407"/>
        <n v="2724"/>
        <n v="2936"/>
        <n v="2299"/>
        <n v="5005"/>
        <n v="3559"/>
        <n v="3769"/>
        <n v="4005"/>
        <n v="3641"/>
        <n v="3771"/>
        <n v="4323"/>
        <n v="6576"/>
        <n v="4187"/>
        <n v="2697"/>
        <n v="5016"/>
        <n v="6800"/>
        <n v="6474"/>
        <n v="2278"/>
        <n v="6836"/>
        <n v="2978"/>
        <n v="3994"/>
        <n v="3841"/>
        <n v="5256"/>
        <n v="4876"/>
        <n v="3625"/>
        <n v="2353"/>
        <n v="2837"/>
        <n v="6485"/>
        <n v="4079"/>
        <n v="6378"/>
        <n v="3786"/>
        <n v="3963"/>
        <n v="4594945"/>
        <n v="2908365"/>
      </sharedItems>
    </cacheField>
    <cacheField name="Ventas efectivo" numFmtId="42">
      <sharedItems containsSemiMixedTypes="0" containsString="0" containsNumber="1" containsInteger="1" minValue="0" maxValue="8344"/>
    </cacheField>
    <cacheField name="Ventas tarjeta" numFmtId="42">
      <sharedItems containsSemiMixedTypes="0" containsString="0" containsNumber="1" containsInteger="1" minValue="0" maxValue="765485"/>
    </cacheField>
    <cacheField name="Ventas transferencia" numFmtId="42">
      <sharedItems containsSemiMixedTypes="0" containsString="0" containsNumber="1" containsInteger="1" minValue="0" maxValue="5132"/>
    </cacheField>
    <cacheField name="Utilidad" numFmtId="42">
      <sharedItems containsSemiMixedTypes="0" containsString="0" containsNumber="1" containsInteger="1" minValue="0" maxValue="165776805" count="143">
        <n v="0"/>
        <n v="1908"/>
        <n v="2553"/>
        <n v="2692"/>
        <n v="3018"/>
        <n v="2053"/>
        <n v="2779"/>
        <n v="2587"/>
        <n v="1746"/>
        <n v="3802"/>
        <n v="2411"/>
        <n v="2291"/>
        <n v="2032"/>
        <n v="1996"/>
        <n v="3750"/>
        <n v="2127"/>
        <n v="1826"/>
        <n v="2082"/>
        <n v="2216"/>
        <n v="2076"/>
        <n v="1611"/>
        <n v="3505"/>
        <n v="1654"/>
        <n v="1758"/>
        <n v="1430"/>
        <n v="1141"/>
        <n v="1442"/>
        <n v="2488"/>
        <n v="1844"/>
        <n v="1669"/>
        <n v="2391"/>
        <n v="2616"/>
        <n v="2699"/>
        <n v="1962"/>
        <n v="1975"/>
        <n v="2371"/>
        <n v="1524"/>
        <n v="824"/>
        <n v="1810"/>
        <n v="1773"/>
        <n v="1326"/>
        <n v="2747"/>
        <n v="1417"/>
        <n v="1599"/>
        <n v="3472"/>
        <n v="2387"/>
        <n v="2765"/>
        <n v="1736"/>
        <n v="3210"/>
        <n v="1440"/>
        <n v="2924"/>
        <n v="2535"/>
        <n v="1976"/>
        <n v="2317"/>
        <n v="1668"/>
        <n v="4222"/>
        <n v="3015"/>
        <n v="1751"/>
        <n v="2132"/>
        <n v="3161"/>
        <n v="1436"/>
        <n v="2165"/>
        <n v="2708"/>
        <n v="1764"/>
        <n v="1137"/>
        <n v="3209"/>
        <n v="3103"/>
        <n v="2116"/>
        <n v="2789"/>
        <n v="2512"/>
        <n v="2280"/>
        <n v="2009"/>
        <n v="1712"/>
        <n v="1045"/>
        <n v="1536"/>
        <n v="1449"/>
        <n v="3010"/>
        <n v="3079"/>
        <n v="996"/>
        <n v="2821"/>
        <n v="1680"/>
        <n v="3130"/>
        <n v="6062"/>
        <n v="2363"/>
        <n v="849"/>
        <n v="1778"/>
        <n v="2169"/>
        <n v="2140"/>
        <n v="2619"/>
        <n v="2937"/>
        <n v="2862"/>
        <n v="1412"/>
        <n v="2347"/>
        <n v="4354"/>
        <n v="4730"/>
        <n v="1275"/>
        <n v="1364"/>
        <n v="1519"/>
        <n v="2285"/>
        <n v="2577"/>
        <n v="2738"/>
        <n v="4624"/>
        <n v="2478"/>
        <n v="2063"/>
        <n v="1788"/>
        <n v="882"/>
        <n v="2377"/>
        <n v="1464"/>
        <n v="1304"/>
        <n v="2015"/>
        <n v="1600"/>
        <n v="1733"/>
        <n v="1358"/>
        <n v="2991"/>
        <n v="2125"/>
        <n v="2195"/>
        <n v="2362"/>
        <n v="2215"/>
        <n v="2210"/>
        <n v="2500"/>
        <n v="3815"/>
        <n v="2428"/>
        <n v="1614"/>
        <n v="2935"/>
        <n v="4028"/>
        <n v="3760"/>
        <n v="1349"/>
        <n v="4091"/>
        <n v="1801"/>
        <n v="2329"/>
        <n v="2337"/>
        <n v="3190"/>
        <n v="2880"/>
        <n v="2172"/>
        <n v="1398"/>
        <n v="1671"/>
        <n v="3843"/>
        <n v="2365"/>
        <n v="3894"/>
        <n v="2274"/>
        <n v="2283"/>
        <n v="26650681"/>
        <n v="165776805"/>
      </sharedItems>
    </cacheField>
    <cacheField name="Tickets" numFmtId="0">
      <sharedItems containsSemiMixedTypes="0" containsString="0" containsNumber="1" containsInteger="1" minValue="0" maxValue="73" count="47">
        <n v="0"/>
        <n v="25"/>
        <n v="47"/>
        <n v="55"/>
        <n v="58"/>
        <n v="50"/>
        <n v="59"/>
        <n v="32"/>
        <n v="46"/>
        <n v="48"/>
        <n v="39"/>
        <n v="33"/>
        <n v="28"/>
        <n v="34"/>
        <n v="40"/>
        <n v="53"/>
        <n v="42"/>
        <n v="35"/>
        <n v="51"/>
        <n v="26"/>
        <n v="31"/>
        <n v="24"/>
        <n v="45"/>
        <n v="29"/>
        <n v="54"/>
        <n v="38"/>
        <n v="22"/>
        <n v="14"/>
        <n v="27"/>
        <n v="30"/>
        <n v="56"/>
        <n v="44"/>
        <n v="37"/>
        <n v="49"/>
        <n v="43"/>
        <n v="60"/>
        <n v="41"/>
        <n v="17"/>
        <n v="16"/>
        <n v="73"/>
        <n v="19"/>
        <n v="36"/>
        <n v="21"/>
        <n v="61"/>
        <n v="66"/>
        <n v="57"/>
        <n v="15"/>
      </sharedItems>
    </cacheField>
    <cacheField name="Months" numFmtId="0" databaseField="0">
      <fieldGroup base="0">
        <rangePr groupBy="months" startDate="2022-01-01T00:00:00" endDate="2022-06-01T00:00:00"/>
        <groupItems count="14">
          <s v="&lt;1/01/22"/>
          <s v="Jan"/>
          <s v="Feb"/>
          <s v="Mar"/>
          <s v="Apr"/>
          <s v="May"/>
          <s v="Jun"/>
          <s v="Jul"/>
          <s v="Aug"/>
          <s v="Sep"/>
          <s v="Oct"/>
          <s v="Nov"/>
          <s v="Dec"/>
          <s v="&gt;1/06/22"/>
        </groupItems>
      </fieldGroup>
    </cacheField>
    <cacheField name="Cost" numFmtId="0" formula="'Ventas totales'-Utilidad" databaseField="0"/>
    <cacheField name="% de utilidad" numFmtId="0" formula="Utilidad/'Ventas totales'"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or Mosquera" refreshedDate="45072.596131365739" createdVersion="8" refreshedVersion="8" minRefreshableVersion="3" recordCount="6" xr:uid="{539CDB25-31EC-8348-BEDD-48E8F05F0C6A}">
  <cacheSource type="worksheet">
    <worksheetSource name="Table1"/>
  </cacheSource>
  <cacheFields count="6">
    <cacheField name="Nombre" numFmtId="0">
      <sharedItems count="6">
        <s v="JuanLopez"/>
        <s v="MariaGonzález"/>
        <s v="SandraBlanco"/>
        <s v="JoseRomero"/>
        <s v="RobertoMartinez"/>
        <s v="Junior Mosquera"/>
      </sharedItems>
    </cacheField>
    <cacheField name="enero" numFmtId="3">
      <sharedItems containsSemiMixedTypes="0" containsString="0" containsNumber="1" containsInteger="1" minValue="103994" maxValue="283339346"/>
    </cacheField>
    <cacheField name="febrero" numFmtId="3">
      <sharedItems containsSemiMixedTypes="0" containsString="0" containsNumber="1" containsInteger="1" minValue="43434545" maxValue="254583412"/>
    </cacheField>
    <cacheField name="marzo" numFmtId="3">
      <sharedItems containsSemiMixedTypes="0" containsString="0" containsNumber="1" containsInteger="1" minValue="5634" maxValue="267139818"/>
    </cacheField>
    <cacheField name="abril" numFmtId="3">
      <sharedItems containsSemiMixedTypes="0" containsString="0" containsNumber="1" containsInteger="1" minValue="34345" maxValue="272681583"/>
    </cacheField>
    <cacheField name="mayo" numFmtId="3">
      <sharedItems containsSemiMixedTypes="0" containsString="0" containsNumber="1" containsInteger="1" minValue="656" maxValue="306373616"/>
    </cacheField>
  </cacheFields>
  <extLst>
    <ext xmlns:x14="http://schemas.microsoft.com/office/spreadsheetml/2009/9/main" uri="{725AE2AE-9491-48be-B2B4-4EB974FC3084}">
      <x14:pivotCacheDefinition pivotCacheId="3553994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nior Mosquera" refreshedDate="45072.598987731479" createdVersion="8" refreshedVersion="8" minRefreshableVersion="3" recordCount="9" xr:uid="{C5A2305D-D921-A944-9791-1540B595EF8C}">
  <cacheSource type="worksheet">
    <worksheetSource name="Table2"/>
  </cacheSource>
  <cacheFields count="7">
    <cacheField name="Mes" numFmtId="0">
      <sharedItems count="9">
        <s v="Renta"/>
        <s v="Etiquetas"/>
        <s v="Internet"/>
        <s v="Flete pedido"/>
        <s v="Redes sociales"/>
        <s v="Sistema"/>
        <s v="Sueldos"/>
        <s v="Otros gastos"/>
        <s v="Mantenimiento"/>
      </sharedItems>
    </cacheField>
    <cacheField name="Enero" numFmtId="42">
      <sharedItems containsSemiMixedTypes="0" containsString="0" containsNumber="1" containsInteger="1" minValue="0" maxValue="13100" count="8">
        <n v="9280"/>
        <n v="2336"/>
        <n v="550"/>
        <n v="2433"/>
        <n v="0"/>
        <n v="13100"/>
        <n v="305"/>
        <n v="152"/>
      </sharedItems>
    </cacheField>
    <cacheField name="Febrero" numFmtId="42">
      <sharedItems containsSemiMixedTypes="0" containsString="0" containsNumber="1" containsInteger="1" minValue="0" maxValue="13050"/>
    </cacheField>
    <cacheField name="Marzo" numFmtId="42">
      <sharedItems containsSemiMixedTypes="0" containsString="0" containsNumber="1" containsInteger="1" minValue="62" maxValue="15760"/>
    </cacheField>
    <cacheField name="Abril" numFmtId="0">
      <sharedItems containsMixedTypes="1" containsNumber="1" containsInteger="1" minValue="550" maxValue="17432"/>
    </cacheField>
    <cacheField name="Mayo" numFmtId="0">
      <sharedItems containsMixedTypes="1" containsNumber="1" containsInteger="1" minValue="354" maxValue="15620"/>
    </cacheField>
    <cacheField name="Junio" numFmtId="42">
      <sharedItems containsSemiMixedTypes="0" containsString="0" containsNumber="1" containsInteger="1" minValue="561" maxValue="41910"/>
    </cacheField>
  </cacheFields>
  <extLst>
    <ext xmlns:x14="http://schemas.microsoft.com/office/spreadsheetml/2009/9/main" uri="{725AE2AE-9491-48be-B2B4-4EB974FC3084}">
      <x14:pivotCacheDefinition pivotCacheId="1571149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x v="0"/>
    <n v="0"/>
    <n v="0"/>
    <n v="0"/>
    <x v="0"/>
    <x v="0"/>
  </r>
  <r>
    <x v="1"/>
    <x v="1"/>
    <n v="3459"/>
    <n v="114"/>
    <n v="0"/>
    <x v="1"/>
    <x v="1"/>
  </r>
  <r>
    <x v="2"/>
    <x v="2"/>
    <n v="4942"/>
    <n v="0"/>
    <n v="0"/>
    <x v="2"/>
    <x v="2"/>
  </r>
  <r>
    <x v="3"/>
    <x v="3"/>
    <n v="5108"/>
    <n v="443"/>
    <n v="0"/>
    <x v="3"/>
    <x v="3"/>
  </r>
  <r>
    <x v="4"/>
    <x v="4"/>
    <n v="5876"/>
    <n v="125"/>
    <n v="0"/>
    <x v="4"/>
    <x v="4"/>
  </r>
  <r>
    <x v="5"/>
    <x v="5"/>
    <n v="3962"/>
    <n v="156"/>
    <n v="0"/>
    <x v="5"/>
    <x v="5"/>
  </r>
  <r>
    <x v="6"/>
    <x v="6"/>
    <n v="4933"/>
    <n v="716"/>
    <n v="0"/>
    <x v="6"/>
    <x v="6"/>
  </r>
  <r>
    <x v="7"/>
    <x v="7"/>
    <n v="4907"/>
    <n v="394"/>
    <n v="0"/>
    <x v="7"/>
    <x v="4"/>
  </r>
  <r>
    <x v="8"/>
    <x v="8"/>
    <n v="1596"/>
    <n v="1881"/>
    <n v="0"/>
    <x v="8"/>
    <x v="7"/>
  </r>
  <r>
    <x v="9"/>
    <x v="9"/>
    <n v="2347"/>
    <n v="94"/>
    <n v="5132"/>
    <x v="9"/>
    <x v="7"/>
  </r>
  <r>
    <x v="10"/>
    <x v="10"/>
    <n v="3692"/>
    <n v="533"/>
    <n v="0"/>
    <x v="10"/>
    <x v="8"/>
  </r>
  <r>
    <x v="11"/>
    <x v="11"/>
    <n v="4172"/>
    <n v="0"/>
    <n v="0"/>
    <x v="11"/>
    <x v="9"/>
  </r>
  <r>
    <x v="12"/>
    <x v="12"/>
    <n v="3217"/>
    <n v="363"/>
    <n v="0"/>
    <x v="12"/>
    <x v="10"/>
  </r>
  <r>
    <x v="13"/>
    <x v="13"/>
    <n v="2831"/>
    <n v="671"/>
    <n v="0"/>
    <x v="13"/>
    <x v="11"/>
  </r>
  <r>
    <x v="14"/>
    <x v="14"/>
    <n v="5752"/>
    <n v="975"/>
    <n v="0"/>
    <x v="14"/>
    <x v="9"/>
  </r>
  <r>
    <x v="15"/>
    <x v="15"/>
    <n v="3216"/>
    <n v="403"/>
    <n v="0"/>
    <x v="15"/>
    <x v="12"/>
  </r>
  <r>
    <x v="16"/>
    <x v="16"/>
    <n v="3154"/>
    <n v="24"/>
    <n v="0"/>
    <x v="16"/>
    <x v="13"/>
  </r>
  <r>
    <x v="17"/>
    <x v="17"/>
    <n v="3388"/>
    <n v="377"/>
    <n v="0"/>
    <x v="17"/>
    <x v="14"/>
  </r>
  <r>
    <x v="18"/>
    <x v="18"/>
    <n v="3605"/>
    <n v="361"/>
    <n v="0"/>
    <x v="18"/>
    <x v="15"/>
  </r>
  <r>
    <x v="19"/>
    <x v="19"/>
    <n v="3706"/>
    <n v="0"/>
    <n v="0"/>
    <x v="19"/>
    <x v="16"/>
  </r>
  <r>
    <x v="20"/>
    <x v="20"/>
    <n v="2753"/>
    <n v="0"/>
    <n v="0"/>
    <x v="20"/>
    <x v="17"/>
  </r>
  <r>
    <x v="21"/>
    <x v="21"/>
    <n v="4991"/>
    <n v="1185"/>
    <n v="0"/>
    <x v="21"/>
    <x v="18"/>
  </r>
  <r>
    <x v="22"/>
    <x v="22"/>
    <n v="2833"/>
    <n v="85"/>
    <n v="0"/>
    <x v="22"/>
    <x v="19"/>
  </r>
  <r>
    <x v="23"/>
    <x v="23"/>
    <n v="2721"/>
    <n v="313"/>
    <n v="0"/>
    <x v="23"/>
    <x v="20"/>
  </r>
  <r>
    <x v="24"/>
    <x v="24"/>
    <n v="2365"/>
    <n v="125"/>
    <n v="0"/>
    <x v="24"/>
    <x v="13"/>
  </r>
  <r>
    <x v="25"/>
    <x v="25"/>
    <n v="1714"/>
    <n v="167"/>
    <n v="0"/>
    <x v="25"/>
    <x v="21"/>
  </r>
  <r>
    <x v="26"/>
    <x v="26"/>
    <n v="1714"/>
    <n v="818"/>
    <n v="0"/>
    <x v="26"/>
    <x v="13"/>
  </r>
  <r>
    <x v="27"/>
    <x v="27"/>
    <n v="4286"/>
    <n v="159"/>
    <n v="0"/>
    <x v="27"/>
    <x v="22"/>
  </r>
  <r>
    <x v="28"/>
    <x v="28"/>
    <n v="2150"/>
    <n v="1001"/>
    <n v="0"/>
    <x v="28"/>
    <x v="19"/>
  </r>
  <r>
    <x v="29"/>
    <x v="29"/>
    <n v="2819"/>
    <n v="121"/>
    <n v="0"/>
    <x v="29"/>
    <x v="23"/>
  </r>
  <r>
    <x v="30"/>
    <x v="30"/>
    <n v="4169"/>
    <n v="52"/>
    <n v="0"/>
    <x v="30"/>
    <x v="24"/>
  </r>
  <r>
    <x v="31"/>
    <x v="31"/>
    <n v="4360"/>
    <n v="357"/>
    <n v="0"/>
    <x v="31"/>
    <x v="2"/>
  </r>
  <r>
    <x v="32"/>
    <x v="32"/>
    <n v="4845"/>
    <n v="0"/>
    <n v="0"/>
    <x v="32"/>
    <x v="16"/>
  </r>
  <r>
    <x v="33"/>
    <x v="33"/>
    <n v="3305"/>
    <n v="112"/>
    <n v="0"/>
    <x v="33"/>
    <x v="11"/>
  </r>
  <r>
    <x v="34"/>
    <x v="34"/>
    <n v="2786"/>
    <n v="697"/>
    <n v="0"/>
    <x v="34"/>
    <x v="10"/>
  </r>
  <r>
    <x v="35"/>
    <x v="35"/>
    <n v="3462"/>
    <n v="717"/>
    <n v="0"/>
    <x v="35"/>
    <x v="25"/>
  </r>
  <r>
    <x v="36"/>
    <x v="36"/>
    <n v="1803"/>
    <n v="827"/>
    <n v="0"/>
    <x v="29"/>
    <x v="26"/>
  </r>
  <r>
    <x v="37"/>
    <x v="37"/>
    <n v="2012"/>
    <n v="641"/>
    <n v="0"/>
    <x v="36"/>
    <x v="20"/>
  </r>
  <r>
    <x v="38"/>
    <x v="38"/>
    <n v="1405"/>
    <n v="0"/>
    <n v="0"/>
    <x v="37"/>
    <x v="27"/>
  </r>
  <r>
    <x v="39"/>
    <x v="39"/>
    <n v="2472"/>
    <n v="732"/>
    <n v="0"/>
    <x v="38"/>
    <x v="28"/>
  </r>
  <r>
    <x v="40"/>
    <x v="40"/>
    <n v="2983"/>
    <n v="184"/>
    <n v="0"/>
    <x v="39"/>
    <x v="29"/>
  </r>
  <r>
    <x v="41"/>
    <x v="41"/>
    <n v="2384"/>
    <n v="0"/>
    <n v="0"/>
    <x v="40"/>
    <x v="21"/>
  </r>
  <r>
    <x v="42"/>
    <x v="42"/>
    <n v="4515"/>
    <n v="242"/>
    <n v="0"/>
    <x v="41"/>
    <x v="14"/>
  </r>
  <r>
    <x v="43"/>
    <x v="43"/>
    <n v="2031"/>
    <n v="530"/>
    <n v="0"/>
    <x v="42"/>
    <x v="26"/>
  </r>
  <r>
    <x v="44"/>
    <x v="44"/>
    <n v="2753"/>
    <n v="38"/>
    <n v="0"/>
    <x v="43"/>
    <x v="19"/>
  </r>
  <r>
    <x v="45"/>
    <x v="45"/>
    <n v="5314"/>
    <n v="739"/>
    <n v="0"/>
    <x v="44"/>
    <x v="30"/>
  </r>
  <r>
    <x v="46"/>
    <x v="46"/>
    <n v="4245"/>
    <n v="10"/>
    <n v="0"/>
    <x v="45"/>
    <x v="31"/>
  </r>
  <r>
    <x v="47"/>
    <x v="47"/>
    <n v="3842"/>
    <n v="978"/>
    <n v="0"/>
    <x v="46"/>
    <x v="3"/>
  </r>
  <r>
    <x v="48"/>
    <x v="48"/>
    <n v="2980"/>
    <n v="0"/>
    <n v="0"/>
    <x v="47"/>
    <x v="32"/>
  </r>
  <r>
    <x v="49"/>
    <x v="49"/>
    <n v="4623"/>
    <n v="1105"/>
    <n v="0"/>
    <x v="48"/>
    <x v="31"/>
  </r>
  <r>
    <x v="50"/>
    <x v="50"/>
    <n v="2744"/>
    <n v="2815"/>
    <n v="0"/>
    <x v="49"/>
    <x v="11"/>
  </r>
  <r>
    <x v="51"/>
    <x v="51"/>
    <n v="4085"/>
    <n v="880"/>
    <n v="0"/>
    <x v="50"/>
    <x v="17"/>
  </r>
  <r>
    <x v="52"/>
    <x v="52"/>
    <n v="4545"/>
    <n v="103"/>
    <n v="0"/>
    <x v="51"/>
    <x v="33"/>
  </r>
  <r>
    <x v="53"/>
    <x v="53"/>
    <n v="2997"/>
    <n v="443"/>
    <n v="0"/>
    <x v="52"/>
    <x v="34"/>
  </r>
  <r>
    <x v="54"/>
    <x v="54"/>
    <n v="3492"/>
    <n v="595"/>
    <n v="0"/>
    <x v="53"/>
    <x v="14"/>
  </r>
  <r>
    <x v="55"/>
    <x v="55"/>
    <n v="2489"/>
    <n v="428"/>
    <n v="0"/>
    <x v="54"/>
    <x v="13"/>
  </r>
  <r>
    <x v="56"/>
    <x v="56"/>
    <n v="4240"/>
    <n v="3265"/>
    <n v="0"/>
    <x v="55"/>
    <x v="33"/>
  </r>
  <r>
    <x v="57"/>
    <x v="57"/>
    <n v="2716"/>
    <n v="468"/>
    <n v="0"/>
    <x v="56"/>
    <x v="20"/>
  </r>
  <r>
    <x v="58"/>
    <x v="58"/>
    <n v="3982"/>
    <n v="346"/>
    <n v="0"/>
    <x v="0"/>
    <x v="14"/>
  </r>
  <r>
    <x v="59"/>
    <x v="59"/>
    <n v="5792"/>
    <n v="877"/>
    <n v="0"/>
    <x v="0"/>
    <x v="35"/>
  </r>
  <r>
    <x v="60"/>
    <x v="60"/>
    <n v="2898"/>
    <n v="68"/>
    <n v="0"/>
    <x v="0"/>
    <x v="23"/>
  </r>
  <r>
    <x v="61"/>
    <x v="61"/>
    <n v="4636"/>
    <n v="1444"/>
    <n v="0"/>
    <x v="0"/>
    <x v="5"/>
  </r>
  <r>
    <x v="62"/>
    <x v="62"/>
    <n v="3490"/>
    <n v="200"/>
    <n v="0"/>
    <x v="0"/>
    <x v="25"/>
  </r>
  <r>
    <x v="63"/>
    <x v="63"/>
    <n v="4348"/>
    <n v="1397"/>
    <n v="0"/>
    <x v="0"/>
    <x v="9"/>
  </r>
  <r>
    <x v="64"/>
    <x v="64"/>
    <n v="2103"/>
    <n v="992"/>
    <n v="0"/>
    <x v="57"/>
    <x v="12"/>
  </r>
  <r>
    <x v="65"/>
    <x v="65"/>
    <n v="3377"/>
    <n v="363"/>
    <n v="0"/>
    <x v="58"/>
    <x v="14"/>
  </r>
  <r>
    <x v="66"/>
    <x v="66"/>
    <n v="4397"/>
    <n v="1328"/>
    <n v="0"/>
    <x v="59"/>
    <x v="14"/>
  </r>
  <r>
    <x v="67"/>
    <x v="67"/>
    <n v="2361"/>
    <n v="0"/>
    <n v="0"/>
    <x v="60"/>
    <x v="23"/>
  </r>
  <r>
    <x v="68"/>
    <x v="68"/>
    <n v="3297"/>
    <n v="309"/>
    <n v="0"/>
    <x v="61"/>
    <x v="31"/>
  </r>
  <r>
    <x v="69"/>
    <x v="69"/>
    <n v="3666"/>
    <n v="725"/>
    <n v="175"/>
    <x v="62"/>
    <x v="36"/>
  </r>
  <r>
    <x v="70"/>
    <x v="70"/>
    <n v="2424"/>
    <n v="458"/>
    <n v="0"/>
    <x v="63"/>
    <x v="12"/>
  </r>
  <r>
    <x v="71"/>
    <x v="71"/>
    <n v="1323"/>
    <n v="530"/>
    <n v="0"/>
    <x v="64"/>
    <x v="37"/>
  </r>
  <r>
    <x v="72"/>
    <x v="72"/>
    <n v="3538"/>
    <n v="1945"/>
    <n v="0"/>
    <x v="65"/>
    <x v="22"/>
  </r>
  <r>
    <x v="73"/>
    <x v="73"/>
    <n v="4967"/>
    <n v="168"/>
    <n v="0"/>
    <x v="66"/>
    <x v="14"/>
  </r>
  <r>
    <x v="74"/>
    <x v="74"/>
    <n v="3445"/>
    <n v="0"/>
    <n v="0"/>
    <x v="67"/>
    <x v="12"/>
  </r>
  <r>
    <x v="75"/>
    <x v="75"/>
    <n v="3801"/>
    <n v="880"/>
    <n v="0"/>
    <x v="68"/>
    <x v="11"/>
  </r>
  <r>
    <x v="76"/>
    <x v="76"/>
    <n v="3042"/>
    <n v="1209"/>
    <n v="0"/>
    <x v="69"/>
    <x v="14"/>
  </r>
  <r>
    <x v="77"/>
    <x v="77"/>
    <n v="3434"/>
    <n v="251"/>
    <n v="0"/>
    <x v="70"/>
    <x v="25"/>
  </r>
  <r>
    <x v="78"/>
    <x v="78"/>
    <n v="2580"/>
    <n v="753"/>
    <n v="0"/>
    <x v="71"/>
    <x v="7"/>
  </r>
  <r>
    <x v="79"/>
    <x v="79"/>
    <n v="3020"/>
    <n v="0"/>
    <n v="0"/>
    <x v="72"/>
    <x v="20"/>
  </r>
  <r>
    <x v="80"/>
    <x v="80"/>
    <n v="1615"/>
    <n v="32"/>
    <n v="0"/>
    <x v="73"/>
    <x v="28"/>
  </r>
  <r>
    <x v="81"/>
    <x v="81"/>
    <n v="2371"/>
    <n v="203"/>
    <n v="0"/>
    <x v="74"/>
    <x v="28"/>
  </r>
  <r>
    <x v="82"/>
    <x v="82"/>
    <n v="2477"/>
    <n v="0"/>
    <n v="0"/>
    <x v="75"/>
    <x v="1"/>
  </r>
  <r>
    <x v="83"/>
    <x v="83"/>
    <n v="4293"/>
    <n v="679"/>
    <n v="0"/>
    <x v="76"/>
    <x v="8"/>
  </r>
  <r>
    <x v="84"/>
    <x v="84"/>
    <n v="4718"/>
    <n v="490"/>
    <n v="0"/>
    <x v="77"/>
    <x v="31"/>
  </r>
  <r>
    <x v="85"/>
    <x v="85"/>
    <n v="1371"/>
    <n v="329"/>
    <n v="0"/>
    <x v="78"/>
    <x v="38"/>
  </r>
  <r>
    <x v="86"/>
    <x v="86"/>
    <n v="3800"/>
    <n v="788"/>
    <n v="0"/>
    <x v="79"/>
    <x v="31"/>
  </r>
  <r>
    <x v="87"/>
    <x v="87"/>
    <n v="3196"/>
    <n v="755"/>
    <n v="0"/>
    <x v="30"/>
    <x v="10"/>
  </r>
  <r>
    <x v="88"/>
    <x v="88"/>
    <n v="2621"/>
    <n v="300"/>
    <n v="0"/>
    <x v="80"/>
    <x v="23"/>
  </r>
  <r>
    <x v="89"/>
    <x v="89"/>
    <n v="4756"/>
    <n v="597"/>
    <n v="0"/>
    <x v="81"/>
    <x v="9"/>
  </r>
  <r>
    <x v="90"/>
    <x v="90"/>
    <n v="8344"/>
    <n v="1910"/>
    <n v="0"/>
    <x v="82"/>
    <x v="39"/>
  </r>
  <r>
    <x v="91"/>
    <x v="91"/>
    <n v="3256"/>
    <n v="636"/>
    <n v="0"/>
    <x v="83"/>
    <x v="20"/>
  </r>
  <r>
    <x v="92"/>
    <x v="92"/>
    <n v="1257"/>
    <n v="136"/>
    <n v="0"/>
    <x v="84"/>
    <x v="40"/>
  </r>
  <r>
    <x v="93"/>
    <x v="93"/>
    <n v="2723"/>
    <n v="181"/>
    <n v="0"/>
    <x v="85"/>
    <x v="17"/>
  </r>
  <r>
    <x v="94"/>
    <x v="1"/>
    <n v="3106"/>
    <n v="467"/>
    <n v="0"/>
    <x v="86"/>
    <x v="8"/>
  </r>
  <r>
    <x v="95"/>
    <x v="94"/>
    <n v="3143"/>
    <n v="408"/>
    <n v="0"/>
    <x v="87"/>
    <x v="7"/>
  </r>
  <r>
    <x v="96"/>
    <x v="95"/>
    <n v="4385"/>
    <n v="0"/>
    <n v="0"/>
    <x v="88"/>
    <x v="41"/>
  </r>
  <r>
    <x v="97"/>
    <x v="96"/>
    <n v="3970"/>
    <n v="1029"/>
    <n v="0"/>
    <x v="89"/>
    <x v="10"/>
  </r>
  <r>
    <x v="98"/>
    <x v="97"/>
    <n v="3893"/>
    <n v="992"/>
    <n v="0"/>
    <x v="90"/>
    <x v="31"/>
  </r>
  <r>
    <x v="99"/>
    <x v="98"/>
    <n v="1637"/>
    <n v="759"/>
    <n v="0"/>
    <x v="91"/>
    <x v="42"/>
  </r>
  <r>
    <x v="100"/>
    <x v="99"/>
    <n v="3762"/>
    <n v="171"/>
    <n v="0"/>
    <x v="92"/>
    <x v="22"/>
  </r>
  <r>
    <x v="101"/>
    <x v="100"/>
    <n v="6415"/>
    <n v="870"/>
    <n v="0"/>
    <x v="93"/>
    <x v="43"/>
  </r>
  <r>
    <x v="102"/>
    <x v="101"/>
    <n v="7167"/>
    <n v="616"/>
    <n v="0"/>
    <x v="94"/>
    <x v="44"/>
  </r>
  <r>
    <x v="103"/>
    <x v="102"/>
    <n v="1467"/>
    <n v="645"/>
    <n v="0"/>
    <x v="95"/>
    <x v="26"/>
  </r>
  <r>
    <x v="104"/>
    <x v="103"/>
    <n v="2107"/>
    <n v="215"/>
    <n v="0"/>
    <x v="96"/>
    <x v="40"/>
  </r>
  <r>
    <x v="105"/>
    <x v="104"/>
    <n v="1915"/>
    <n v="601"/>
    <n v="0"/>
    <x v="97"/>
    <x v="29"/>
  </r>
  <r>
    <x v="106"/>
    <x v="105"/>
    <n v="3511"/>
    <n v="262"/>
    <n v="0"/>
    <x v="98"/>
    <x v="26"/>
  </r>
  <r>
    <x v="107"/>
    <x v="106"/>
    <n v="3719"/>
    <n v="613"/>
    <n v="0"/>
    <x v="99"/>
    <x v="2"/>
  </r>
  <r>
    <x v="108"/>
    <x v="107"/>
    <n v="4677"/>
    <n v="0"/>
    <n v="0"/>
    <x v="100"/>
    <x v="45"/>
  </r>
  <r>
    <x v="109"/>
    <x v="108"/>
    <n v="7326"/>
    <n v="476"/>
    <n v="0"/>
    <x v="101"/>
    <x v="31"/>
  </r>
  <r>
    <x v="110"/>
    <x v="109"/>
    <n v="3408"/>
    <n v="646"/>
    <n v="0"/>
    <x v="102"/>
    <x v="16"/>
  </r>
  <r>
    <x v="111"/>
    <x v="110"/>
    <n v="3038"/>
    <n v="590"/>
    <n v="0"/>
    <x v="103"/>
    <x v="7"/>
  </r>
  <r>
    <x v="112"/>
    <x v="111"/>
    <n v="2714"/>
    <n v="258"/>
    <n v="0"/>
    <x v="104"/>
    <x v="32"/>
  </r>
  <r>
    <x v="113"/>
    <x v="112"/>
    <n v="1497"/>
    <n v="0"/>
    <n v="0"/>
    <x v="105"/>
    <x v="46"/>
  </r>
  <r>
    <x v="114"/>
    <x v="113"/>
    <n v="3577"/>
    <n v="317"/>
    <n v="0"/>
    <x v="106"/>
    <x v="11"/>
  </r>
  <r>
    <x v="115"/>
    <x v="114"/>
    <n v="2496"/>
    <n v="0"/>
    <n v="0"/>
    <x v="107"/>
    <x v="1"/>
  </r>
  <r>
    <x v="116"/>
    <x v="115"/>
    <n v="2126"/>
    <n v="28"/>
    <n v="0"/>
    <x v="108"/>
    <x v="12"/>
  </r>
  <r>
    <x v="117"/>
    <x v="116"/>
    <n v="2741"/>
    <n v="666"/>
    <n v="0"/>
    <x v="109"/>
    <x v="41"/>
  </r>
  <r>
    <x v="118"/>
    <x v="117"/>
    <n v="2616"/>
    <n v="107"/>
    <n v="0"/>
    <x v="110"/>
    <x v="7"/>
  </r>
  <r>
    <x v="119"/>
    <x v="118"/>
    <n v="2120"/>
    <n v="816"/>
    <n v="0"/>
    <x v="111"/>
    <x v="20"/>
  </r>
  <r>
    <x v="120"/>
    <x v="119"/>
    <n v="1844"/>
    <n v="455"/>
    <n v="0"/>
    <x v="112"/>
    <x v="1"/>
  </r>
  <r>
    <x v="121"/>
    <x v="120"/>
    <n v="4914"/>
    <n v="91"/>
    <n v="0"/>
    <x v="113"/>
    <x v="31"/>
  </r>
  <r>
    <x v="122"/>
    <x v="121"/>
    <n v="3026"/>
    <n v="532"/>
    <n v="0"/>
    <x v="114"/>
    <x v="17"/>
  </r>
  <r>
    <x v="123"/>
    <x v="122"/>
    <n v="3769"/>
    <n v="0"/>
    <n v="0"/>
    <x v="115"/>
    <x v="20"/>
  </r>
  <r>
    <x v="124"/>
    <x v="123"/>
    <n v="3073"/>
    <n v="931"/>
    <n v="0"/>
    <x v="116"/>
    <x v="22"/>
  </r>
  <r>
    <x v="125"/>
    <x v="124"/>
    <n v="3097"/>
    <n v="544"/>
    <n v="0"/>
    <x v="117"/>
    <x v="41"/>
  </r>
  <r>
    <x v="126"/>
    <x v="125"/>
    <n v="3606"/>
    <n v="165"/>
    <n v="0"/>
    <x v="118"/>
    <x v="32"/>
  </r>
  <r>
    <x v="127"/>
    <x v="126"/>
    <n v="4121"/>
    <n v="202"/>
    <n v="0"/>
    <x v="119"/>
    <x v="13"/>
  </r>
  <r>
    <x v="128"/>
    <x v="127"/>
    <n v="4606"/>
    <n v="1970"/>
    <n v="0"/>
    <x v="120"/>
    <x v="2"/>
  </r>
  <r>
    <x v="129"/>
    <x v="128"/>
    <n v="3274"/>
    <n v="546"/>
    <n v="367"/>
    <x v="121"/>
    <x v="13"/>
  </r>
  <r>
    <x v="130"/>
    <x v="129"/>
    <n v="2265"/>
    <n v="431"/>
    <n v="0"/>
    <x v="122"/>
    <x v="11"/>
  </r>
  <r>
    <x v="131"/>
    <x v="130"/>
    <n v="3192"/>
    <n v="1824"/>
    <n v="0"/>
    <x v="123"/>
    <x v="9"/>
  </r>
  <r>
    <x v="132"/>
    <x v="131"/>
    <n v="5259"/>
    <n v="1541"/>
    <n v="0"/>
    <x v="124"/>
    <x v="16"/>
  </r>
  <r>
    <x v="133"/>
    <x v="132"/>
    <n v="4850"/>
    <n v="1400"/>
    <n v="223"/>
    <x v="125"/>
    <x v="22"/>
  </r>
  <r>
    <x v="134"/>
    <x v="133"/>
    <n v="2011"/>
    <n v="267"/>
    <n v="0"/>
    <x v="126"/>
    <x v="19"/>
  </r>
  <r>
    <x v="135"/>
    <x v="134"/>
    <n v="5687"/>
    <n v="1148"/>
    <n v="0"/>
    <x v="127"/>
    <x v="35"/>
  </r>
  <r>
    <x v="136"/>
    <x v="135"/>
    <n v="2784"/>
    <n v="194"/>
    <n v="0"/>
    <x v="128"/>
    <x v="41"/>
  </r>
  <r>
    <x v="137"/>
    <x v="136"/>
    <n v="2886"/>
    <n v="1107"/>
    <n v="0"/>
    <x v="129"/>
    <x v="16"/>
  </r>
  <r>
    <x v="138"/>
    <x v="137"/>
    <n v="3668"/>
    <n v="173"/>
    <n v="0"/>
    <x v="130"/>
    <x v="14"/>
  </r>
  <r>
    <x v="139"/>
    <x v="138"/>
    <n v="4466"/>
    <n v="318"/>
    <n v="470"/>
    <x v="131"/>
    <x v="8"/>
  </r>
  <r>
    <x v="140"/>
    <x v="139"/>
    <n v="4139"/>
    <n v="737"/>
    <n v="0"/>
    <x v="132"/>
    <x v="20"/>
  </r>
  <r>
    <x v="141"/>
    <x v="140"/>
    <n v="2363"/>
    <n v="1261"/>
    <n v="0"/>
    <x v="133"/>
    <x v="21"/>
  </r>
  <r>
    <x v="142"/>
    <x v="141"/>
    <n v="1970"/>
    <n v="382"/>
    <n v="0"/>
    <x v="134"/>
    <x v="13"/>
  </r>
  <r>
    <x v="143"/>
    <x v="142"/>
    <n v="2560"/>
    <n v="277"/>
    <n v="0"/>
    <x v="135"/>
    <x v="11"/>
  </r>
  <r>
    <x v="144"/>
    <x v="143"/>
    <n v="5601"/>
    <n v="884"/>
    <n v="0"/>
    <x v="136"/>
    <x v="15"/>
  </r>
  <r>
    <x v="145"/>
    <x v="144"/>
    <n v="3574"/>
    <n v="505"/>
    <n v="0"/>
    <x v="137"/>
    <x v="17"/>
  </r>
  <r>
    <x v="146"/>
    <x v="145"/>
    <n v="4568"/>
    <n v="903"/>
    <n v="906"/>
    <x v="138"/>
    <x v="35"/>
  </r>
  <r>
    <x v="147"/>
    <x v="146"/>
    <n v="3228"/>
    <n v="376"/>
    <n v="181"/>
    <x v="139"/>
    <x v="16"/>
  </r>
  <r>
    <x v="148"/>
    <x v="147"/>
    <n v="3963"/>
    <n v="0"/>
    <n v="0"/>
    <x v="140"/>
    <x v="13"/>
  </r>
  <r>
    <x v="149"/>
    <x v="148"/>
    <n v="3829"/>
    <n v="765485"/>
    <n v="0"/>
    <x v="141"/>
    <x v="0"/>
  </r>
  <r>
    <x v="150"/>
    <x v="149"/>
    <n v="2672"/>
    <n v="235715"/>
    <n v="0"/>
    <x v="14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83339346"/>
    <n v="215842458"/>
    <n v="24285438"/>
    <n v="225258699"/>
    <n v="279732432"/>
  </r>
  <r>
    <x v="1"/>
    <n v="147829224"/>
    <n v="199239192"/>
    <n v="267139818"/>
    <n v="201547257"/>
    <n v="26641184"/>
  </r>
  <r>
    <x v="2"/>
    <n v="271020244"/>
    <n v="254583412"/>
    <n v="230711661"/>
    <n v="23711442"/>
    <n v="306373616"/>
  </r>
  <r>
    <x v="3"/>
    <n v="221743836"/>
    <n v="232445724"/>
    <n v="206426223"/>
    <n v="248970141"/>
    <n v="253091248"/>
  </r>
  <r>
    <x v="4"/>
    <n v="30797755"/>
    <n v="204773614"/>
    <n v="267139818"/>
    <n v="272681583"/>
    <n v="226450064"/>
  </r>
  <r>
    <x v="5"/>
    <n v="103994"/>
    <n v="43434545"/>
    <n v="5634"/>
    <n v="34345"/>
    <n v="6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9280"/>
    <n v="9260"/>
    <n v="9280"/>
    <n v="9280"/>
    <n v="27820"/>
  </r>
  <r>
    <x v="1"/>
    <x v="1"/>
    <n v="0"/>
    <n v="2397"/>
    <s v="2908.12"/>
    <s v="3887.16"/>
    <n v="4733"/>
  </r>
  <r>
    <x v="2"/>
    <x v="2"/>
    <n v="550"/>
    <n v="550"/>
    <n v="550"/>
    <n v="550"/>
    <n v="1650"/>
  </r>
  <r>
    <x v="3"/>
    <x v="3"/>
    <n v="2684"/>
    <n v="2240"/>
    <n v="2628"/>
    <s v="2623.5"/>
    <n v="7357"/>
  </r>
  <r>
    <x v="4"/>
    <x v="4"/>
    <n v="2500"/>
    <n v="2500"/>
    <n v="2500"/>
    <n v="2500"/>
    <n v="5000"/>
  </r>
  <r>
    <x v="5"/>
    <x v="4"/>
    <n v="0"/>
    <n v="660"/>
    <s v="660.75"/>
    <s v="660.75"/>
    <n v="660"/>
  </r>
  <r>
    <x v="6"/>
    <x v="5"/>
    <n v="13050"/>
    <n v="15760"/>
    <n v="17432"/>
    <n v="15620"/>
    <n v="41910"/>
  </r>
  <r>
    <x v="7"/>
    <x v="6"/>
    <n v="381"/>
    <n v="62"/>
    <s v="818."/>
    <n v="700"/>
    <n v="748"/>
  </r>
  <r>
    <x v="8"/>
    <x v="7"/>
    <n v="119"/>
    <n v="290"/>
    <n v="917"/>
    <n v="354"/>
    <n v="5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68689A-78AC-BA4D-A920-8DC4E2EB36F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0" firstDataRow="1" firstDataCol="1" rowPageCount="1" colPageCount="1"/>
  <pivotFields count="1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42" showAll="0">
      <items count="151">
        <item x="0"/>
        <item x="92"/>
        <item x="38"/>
        <item x="112"/>
        <item x="80"/>
        <item x="85"/>
        <item x="71"/>
        <item x="25"/>
        <item x="102"/>
        <item x="115"/>
        <item x="133"/>
        <item x="119"/>
        <item x="103"/>
        <item x="141"/>
        <item x="67"/>
        <item x="41"/>
        <item x="98"/>
        <item x="82"/>
        <item x="24"/>
        <item x="114"/>
        <item x="104"/>
        <item x="26"/>
        <item x="43"/>
        <item x="81"/>
        <item x="36"/>
        <item x="37"/>
        <item x="129"/>
        <item x="117"/>
        <item x="20"/>
        <item x="44"/>
        <item x="142"/>
        <item x="70"/>
        <item x="93"/>
        <item x="55"/>
        <item x="22"/>
        <item x="88"/>
        <item x="118"/>
        <item x="29"/>
        <item x="60"/>
        <item x="111"/>
        <item x="135"/>
        <item x="48"/>
        <item x="79"/>
        <item x="23"/>
        <item x="64"/>
        <item x="28"/>
        <item x="40"/>
        <item x="16"/>
        <item x="57"/>
        <item x="39"/>
        <item x="78"/>
        <item x="116"/>
        <item x="33"/>
        <item x="53"/>
        <item x="74"/>
        <item x="8"/>
        <item x="34"/>
        <item x="13"/>
        <item x="94"/>
        <item x="121"/>
        <item x="1"/>
        <item x="12"/>
        <item x="68"/>
        <item x="15"/>
        <item x="140"/>
        <item x="110"/>
        <item x="124"/>
        <item x="77"/>
        <item x="62"/>
        <item x="19"/>
        <item x="65"/>
        <item x="17"/>
        <item x="122"/>
        <item x="125"/>
        <item x="105"/>
        <item x="146"/>
        <item x="137"/>
        <item x="91"/>
        <item x="113"/>
        <item x="99"/>
        <item x="87"/>
        <item x="147"/>
        <item x="18"/>
        <item x="136"/>
        <item x="123"/>
        <item x="109"/>
        <item x="144"/>
        <item x="54"/>
        <item x="5"/>
        <item x="11"/>
        <item x="35"/>
        <item x="128"/>
        <item x="30"/>
        <item x="10"/>
        <item x="76"/>
        <item x="46"/>
        <item x="126"/>
        <item x="58"/>
        <item x="106"/>
        <item x="95"/>
        <item x="27"/>
        <item x="69"/>
        <item x="86"/>
        <item x="52"/>
        <item x="107"/>
        <item x="75"/>
        <item x="31"/>
        <item x="42"/>
        <item x="47"/>
        <item x="32"/>
        <item x="139"/>
        <item x="97"/>
        <item x="2"/>
        <item x="51"/>
        <item x="83"/>
        <item x="96"/>
        <item x="120"/>
        <item x="130"/>
        <item x="73"/>
        <item x="84"/>
        <item x="138"/>
        <item x="7"/>
        <item x="89"/>
        <item x="72"/>
        <item x="3"/>
        <item x="50"/>
        <item x="6"/>
        <item x="66"/>
        <item x="49"/>
        <item x="63"/>
        <item x="4"/>
        <item x="45"/>
        <item x="61"/>
        <item x="21"/>
        <item x="145"/>
        <item x="132"/>
        <item x="143"/>
        <item x="127"/>
        <item x="59"/>
        <item x="14"/>
        <item x="131"/>
        <item x="134"/>
        <item x="100"/>
        <item x="56"/>
        <item x="9"/>
        <item x="101"/>
        <item x="108"/>
        <item x="90"/>
        <item x="149"/>
        <item x="148"/>
        <item t="default"/>
      </items>
    </pivotField>
    <pivotField numFmtId="42" showAll="0"/>
    <pivotField numFmtId="42" showAll="0"/>
    <pivotField numFmtId="42" showAll="0"/>
    <pivotField axis="axisPage" numFmtId="42" multipleItemSelectionAllowed="1" showAll="0">
      <items count="144">
        <item h="1" x="0"/>
        <item h="1" x="37"/>
        <item h="1" x="84"/>
        <item h="1" x="105"/>
        <item h="1" x="78"/>
        <item x="73"/>
        <item x="64"/>
        <item x="25"/>
        <item x="95"/>
        <item x="108"/>
        <item x="40"/>
        <item x="126"/>
        <item x="112"/>
        <item x="96"/>
        <item x="134"/>
        <item x="91"/>
        <item x="42"/>
        <item x="24"/>
        <item x="60"/>
        <item x="49"/>
        <item x="26"/>
        <item x="75"/>
        <item x="107"/>
        <item x="97"/>
        <item x="36"/>
        <item x="74"/>
        <item x="43"/>
        <item x="110"/>
        <item x="20"/>
        <item x="122"/>
        <item x="22"/>
        <item x="54"/>
        <item x="29"/>
        <item x="135"/>
        <item x="80"/>
        <item x="72"/>
        <item x="111"/>
        <item x="47"/>
        <item x="8"/>
        <item x="57"/>
        <item x="23"/>
        <item x="63"/>
        <item x="39"/>
        <item x="85"/>
        <item x="104"/>
        <item x="128"/>
        <item x="38"/>
        <item x="16"/>
        <item x="28"/>
        <item x="1"/>
        <item x="33"/>
        <item x="34"/>
        <item x="52"/>
        <item x="13"/>
        <item x="71"/>
        <item x="109"/>
        <item x="12"/>
        <item x="5"/>
        <item x="103"/>
        <item x="19"/>
        <item x="17"/>
        <item x="67"/>
        <item x="114"/>
        <item x="15"/>
        <item x="58"/>
        <item x="87"/>
        <item x="61"/>
        <item x="86"/>
        <item x="133"/>
        <item x="115"/>
        <item x="118"/>
        <item x="117"/>
        <item x="18"/>
        <item x="139"/>
        <item x="70"/>
        <item x="140"/>
        <item x="98"/>
        <item x="11"/>
        <item x="53"/>
        <item x="129"/>
        <item x="130"/>
        <item x="92"/>
        <item x="116"/>
        <item x="83"/>
        <item x="137"/>
        <item x="35"/>
        <item x="106"/>
        <item x="45"/>
        <item x="30"/>
        <item x="10"/>
        <item x="121"/>
        <item x="102"/>
        <item x="27"/>
        <item x="119"/>
        <item x="69"/>
        <item x="51"/>
        <item x="2"/>
        <item x="99"/>
        <item x="7"/>
        <item x="31"/>
        <item x="88"/>
        <item x="3"/>
        <item x="32"/>
        <item x="62"/>
        <item x="100"/>
        <item x="41"/>
        <item x="46"/>
        <item x="6"/>
        <item x="68"/>
        <item x="79"/>
        <item x="90"/>
        <item x="132"/>
        <item x="50"/>
        <item x="123"/>
        <item x="89"/>
        <item x="113"/>
        <item x="76"/>
        <item x="56"/>
        <item x="4"/>
        <item x="77"/>
        <item x="66"/>
        <item x="81"/>
        <item x="59"/>
        <item x="131"/>
        <item x="65"/>
        <item x="48"/>
        <item x="44"/>
        <item x="21"/>
        <item x="14"/>
        <item x="125"/>
        <item x="9"/>
        <item x="120"/>
        <item x="136"/>
        <item x="138"/>
        <item x="124"/>
        <item x="127"/>
        <item x="55"/>
        <item x="93"/>
        <item x="101"/>
        <item x="94"/>
        <item x="82"/>
        <item x="141"/>
        <item x="142"/>
        <item t="default"/>
      </items>
    </pivotField>
    <pivotField dataField="1" showAll="0">
      <items count="48">
        <item x="0"/>
        <item x="27"/>
        <item x="46"/>
        <item x="38"/>
        <item x="37"/>
        <item x="40"/>
        <item x="42"/>
        <item x="26"/>
        <item x="21"/>
        <item x="1"/>
        <item x="19"/>
        <item x="28"/>
        <item x="12"/>
        <item x="23"/>
        <item x="29"/>
        <item x="20"/>
        <item x="7"/>
        <item x="11"/>
        <item x="13"/>
        <item x="17"/>
        <item x="41"/>
        <item x="32"/>
        <item x="25"/>
        <item x="10"/>
        <item x="14"/>
        <item x="36"/>
        <item x="16"/>
        <item x="34"/>
        <item x="31"/>
        <item x="22"/>
        <item x="8"/>
        <item x="2"/>
        <item x="9"/>
        <item x="33"/>
        <item x="5"/>
        <item x="18"/>
        <item x="15"/>
        <item x="24"/>
        <item x="3"/>
        <item x="30"/>
        <item x="45"/>
        <item x="4"/>
        <item x="6"/>
        <item x="35"/>
        <item x="43"/>
        <item x="44"/>
        <item x="39"/>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ataField="1" dragToRow="0" dragToCol="0" dragToPage="0" showAll="0" defaultSubtotal="0"/>
  </pivotFields>
  <rowFields count="2">
    <field x="7"/>
    <field x="0"/>
  </rowFields>
  <rowItems count="6">
    <i>
      <x v="1"/>
    </i>
    <i>
      <x v="2"/>
    </i>
    <i>
      <x v="3"/>
    </i>
    <i>
      <x v="4"/>
    </i>
    <i>
      <x v="5"/>
    </i>
    <i t="grand">
      <x/>
    </i>
  </rowItems>
  <colFields count="1">
    <field x="-2"/>
  </colFields>
  <colItems count="5">
    <i>
      <x/>
    </i>
    <i i="1">
      <x v="1"/>
    </i>
    <i i="2">
      <x v="2"/>
    </i>
    <i i="3">
      <x v="3"/>
    </i>
    <i i="4">
      <x v="4"/>
    </i>
  </colItems>
  <pageFields count="1">
    <pageField fld="5" hier="-1"/>
  </pageFields>
  <dataFields count="5">
    <dataField name="Sum of Ventas totales" fld="1" baseField="0" baseItem="0"/>
    <dataField name="Sum of Ventas totales2" fld="1" showDataAs="percentOfCol" baseField="0" baseItem="0" numFmtId="10"/>
    <dataField name="Sum of Tickets" fld="6" baseField="0" baseItem="0" numFmtId="1"/>
    <dataField name="Sum of Cost" fld="8" baseField="0" baseItem="0" numFmtId="42"/>
    <dataField name="Sum of % de utilidad" fld="9" baseField="0" baseItem="0" numFmtId="42"/>
  </dataFields>
  <formats count="9">
    <format dxfId="41">
      <pivotArea outline="0" collapsedLevelsAreSubtotals="1" fieldPosition="0"/>
    </format>
    <format dxfId="40">
      <pivotArea outline="0" fieldPosition="0">
        <references count="1">
          <reference field="4294967294" count="1">
            <x v="1"/>
          </reference>
        </references>
      </pivotArea>
    </format>
    <format dxfId="39">
      <pivotArea outline="0" collapsedLevelsAreSubtotals="1" fieldPosition="0">
        <references count="1">
          <reference field="4294967294" count="1" selected="0">
            <x v="2"/>
          </reference>
        </references>
      </pivotArea>
    </format>
    <format dxfId="38">
      <pivotArea collapsedLevelsAreSubtotals="1" fieldPosition="0">
        <references count="2">
          <reference field="4294967294" count="1" selected="0">
            <x v="4"/>
          </reference>
          <reference field="7" count="1">
            <x v="1"/>
          </reference>
        </references>
      </pivotArea>
    </format>
    <format dxfId="37">
      <pivotArea collapsedLevelsAreSubtotals="1" fieldPosition="0">
        <references count="2">
          <reference field="4294967294" count="1" selected="0">
            <x v="4"/>
          </reference>
          <reference field="7" count="1">
            <x v="2"/>
          </reference>
        </references>
      </pivotArea>
    </format>
    <format dxfId="36">
      <pivotArea collapsedLevelsAreSubtotals="1" fieldPosition="0">
        <references count="2">
          <reference field="4294967294" count="1" selected="0">
            <x v="4"/>
          </reference>
          <reference field="7" count="1">
            <x v="3"/>
          </reference>
        </references>
      </pivotArea>
    </format>
    <format dxfId="35">
      <pivotArea collapsedLevelsAreSubtotals="1" fieldPosition="0">
        <references count="2">
          <reference field="4294967294" count="1" selected="0">
            <x v="4"/>
          </reference>
          <reference field="7" count="1">
            <x v="4"/>
          </reference>
        </references>
      </pivotArea>
    </format>
    <format dxfId="34">
      <pivotArea collapsedLevelsAreSubtotals="1" fieldPosition="0">
        <references count="2">
          <reference field="4294967294" count="1" selected="0">
            <x v="4"/>
          </reference>
          <reference field="7" count="1">
            <x v="5"/>
          </reference>
        </references>
      </pivotArea>
    </format>
    <format dxfId="33">
      <pivotArea field="7" grandRow="1" outline="0" collapsedLevelsAreSubtotals="1" axis="axisRow" fieldPosition="0">
        <references count="1">
          <reference field="4294967294" count="1" selected="0">
            <x v="4"/>
          </reference>
        </references>
      </pivotArea>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F2F95C-A318-4843-9CE0-280EA4B477D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8" firstHeaderRow="0" firstDataRow="1" firstDataCol="1"/>
  <pivotFields count="6">
    <pivotField axis="axisRow" showAll="0">
      <items count="7">
        <item x="3"/>
        <item x="0"/>
        <item x="1"/>
        <item x="4"/>
        <item x="2"/>
        <item x="5"/>
        <item t="default"/>
      </items>
    </pivotField>
    <pivotField dataField="1" numFmtId="3" showAll="0"/>
    <pivotField dataField="1" numFmtId="3" showAll="0"/>
    <pivotField numFmtId="3" showAll="0"/>
    <pivotField numFmtId="3" showAll="0"/>
    <pivotField numFmtId="3" showAll="0"/>
  </pivotFields>
  <rowFields count="1">
    <field x="0"/>
  </rowFields>
  <rowItems count="7">
    <i>
      <x/>
    </i>
    <i>
      <x v="1"/>
    </i>
    <i>
      <x v="2"/>
    </i>
    <i>
      <x v="3"/>
    </i>
    <i>
      <x v="4"/>
    </i>
    <i>
      <x v="5"/>
    </i>
    <i t="grand">
      <x/>
    </i>
  </rowItems>
  <colFields count="1">
    <field x="-2"/>
  </colFields>
  <colItems count="2">
    <i>
      <x/>
    </i>
    <i i="1">
      <x v="1"/>
    </i>
  </colItems>
  <dataFields count="2">
    <dataField name="Sum of enero" fld="1" baseField="0" baseItem="0"/>
    <dataField name="Sum of febrero" fld="2" baseField="0" baseItem="0"/>
  </dataField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503801-04CC-F24F-AC80-6E99832E2A10}"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1" firstHeaderRow="0" firstDataRow="1" firstDataCol="1"/>
  <pivotFields count="7">
    <pivotField axis="axisRow" showAll="0">
      <items count="10">
        <item x="1"/>
        <item x="3"/>
        <item x="2"/>
        <item x="8"/>
        <item x="7"/>
        <item x="4"/>
        <item x="0"/>
        <item x="5"/>
        <item x="6"/>
        <item t="default"/>
      </items>
    </pivotField>
    <pivotField dataField="1" numFmtId="42" showAll="0">
      <items count="9">
        <item x="4"/>
        <item x="7"/>
        <item x="6"/>
        <item x="2"/>
        <item x="1"/>
        <item x="3"/>
        <item x="0"/>
        <item x="5"/>
        <item t="default"/>
      </items>
    </pivotField>
    <pivotField dataField="1" numFmtId="42" showAll="0"/>
    <pivotField dataField="1" numFmtId="42" showAll="0"/>
    <pivotField showAll="0"/>
    <pivotField showAll="0"/>
    <pivotField numFmtId="42" showAl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Sum of Enero" fld="1" baseField="0" baseItem="0"/>
    <dataField name="Sum of Febrero" fld="2" baseField="0" baseItem="0"/>
    <dataField name="Sum of Marzo" fld="3" baseField="0" baseItem="0"/>
  </dataField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bre" xr10:uid="{7E8F3F5B-C92C-C24A-BC76-6CEA352EB0A4}" sourceName="Nombre">
  <pivotTables>
    <pivotTable tabId="12" name="PivotTable1"/>
  </pivotTables>
  <data>
    <tabular pivotCacheId="355399444">
      <items count="6">
        <i x="3" s="1"/>
        <i x="0" s="1"/>
        <i x="5"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s" xr10:uid="{B653366E-9B06-EF4F-9C89-AA26ACB615E7}" sourceName="Mes">
  <pivotTables>
    <pivotTable tabId="13" name="PivotTable3"/>
  </pivotTables>
  <data>
    <tabular pivotCacheId="1571149018">
      <items count="9">
        <i x="1" s="1"/>
        <i x="3" s="1"/>
        <i x="2" s="1"/>
        <i x="8" s="1"/>
        <i x="7" s="1"/>
        <i x="4" s="1"/>
        <i x="0"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xr10:uid="{EE6AEEA8-557C-F644-8443-A50A6D245951}" cache="Slicer_Nombre" caption="Nombr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s" xr10:uid="{1EC6948D-C820-D24D-9F9B-29085C5FB93E}" cache="Slicer_Mes" caption="Mes" startItem="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A3691C-BB56-FC4F-BC8A-C1D650CFD79E}" name="Table4" displayName="Table4" ref="B39:O45" totalsRowShown="0" headerRowDxfId="32">
  <autoFilter ref="B39:O45" xr:uid="{7EA3691C-BB56-FC4F-BC8A-C1D650CFD79E}"/>
  <tableColumns count="14">
    <tableColumn id="1" xr3:uid="{D8A637F2-0338-CD43-8294-E12D11D377DD}" name="Mes"/>
    <tableColumn id="2" xr3:uid="{2A8A63B7-E2D5-1943-811B-DA976408B48B}" name="Número de mes" dataDxfId="31"/>
    <tableColumn id="3" xr3:uid="{6BC58E01-1520-F349-A4C3-2A3347FC6520}" name="Ventas totales" dataDxfId="30"/>
    <tableColumn id="4" xr3:uid="{FBC6FDCF-57B5-5A4A-9F8B-1FFF3D018B24}" name="Ventas efectivo" dataDxfId="29"/>
    <tableColumn id="5" xr3:uid="{FF961951-5D08-2A45-B63A-AB262A3432E2}" name="Ventas tarjeta" dataDxfId="28"/>
    <tableColumn id="6" xr3:uid="{29F84F5C-FC26-494E-9E98-0A0814B167DA}" name="Ventas transferencia" dataDxfId="27"/>
    <tableColumn id="7" xr3:uid="{6C4B8822-2957-B749-A638-6C81313C9806}" name="Utilidad" dataDxfId="26"/>
    <tableColumn id="8" xr3:uid="{14C1C712-69A8-904A-A776-9B495CB6F668}" name="Costo de venta" dataDxfId="25"/>
    <tableColumn id="9" xr3:uid="{F33277E2-7902-D94A-9D25-427E3B1F7588}" name="margen contribución" dataDxfId="24" dataCellStyle="Percent">
      <calculatedColumnFormula>I40/D40</calculatedColumnFormula>
    </tableColumn>
    <tableColumn id="10" xr3:uid="{5E132267-A8CF-FC4A-AD34-11F2483D5064}" name="Tickets" dataDxfId="23"/>
    <tableColumn id="11" xr3:uid="{BD3EF0D9-C0C2-324D-B866-F5177D5736AF}" name="Tienda 1" dataDxfId="22"/>
    <tableColumn id="12" xr3:uid="{DC2D3524-58CD-7842-BECC-5A09525DB399}" name="Tienda 2" dataDxfId="21"/>
    <tableColumn id="13" xr3:uid="{DB05AFF3-9466-F948-A373-7056B7B7CAAA}" name="Tienda 3" dataDxfId="20"/>
    <tableColumn id="14" xr3:uid="{A5E0607F-3F8A-1F49-B522-E06B3A7A7274}" name="Gastos"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B47325-F202-0A4E-8B54-D4797EA506A6}" name="Table3" displayName="Table3" ref="A1:I152" totalsRowShown="0" headerRowDxfId="18" dataDxfId="17" headerRowCellStyle="Currency [0]" dataCellStyle="Currency [0]">
  <autoFilter ref="A1:I152" xr:uid="{0FB47325-F202-0A4E-8B54-D4797EA506A6}"/>
  <tableColumns count="9">
    <tableColumn id="1" xr3:uid="{C9EA0CF3-1CB1-8640-9D59-1D31C56DB625}" name="Fecha" dataDxfId="16"/>
    <tableColumn id="2" xr3:uid="{15601DF0-A22F-C74B-A34D-5D249492E664}" name="Mes" dataDxfId="15">
      <calculatedColumnFormula>MONTH(A2)</calculatedColumnFormula>
    </tableColumn>
    <tableColumn id="9" xr3:uid="{6B2CAE9F-EC41-404B-B28A-35B97DAA8452}" name="Dia" dataDxfId="14">
      <calculatedColumnFormula>WEEKDAY(Table3[[#This Row],[Fecha]])</calculatedColumnFormula>
    </tableColumn>
    <tableColumn id="3" xr3:uid="{C01E1062-5440-364B-9E14-3D8D53D6E535}" name="Ventas totales" dataDxfId="13" dataCellStyle="Currency [0]"/>
    <tableColumn id="4" xr3:uid="{5BAEF949-B8A7-0A45-BFFF-E8DB78F54169}" name="Ventas efectivo" dataDxfId="12" dataCellStyle="Currency [0]"/>
    <tableColumn id="5" xr3:uid="{BD612943-E919-084F-9280-2FEE1562B38A}" name="Ventas tarjeta" dataDxfId="11" dataCellStyle="Currency [0]"/>
    <tableColumn id="6" xr3:uid="{398FF16E-6461-614D-BFB4-FDF0EB336E78}" name="Ventas transferencia" dataDxfId="10" dataCellStyle="Currency [0]"/>
    <tableColumn id="7" xr3:uid="{8D2860B3-C37F-D043-9FB6-083E896BDD25}" name="Utilidad" dataDxfId="9" dataCellStyle="Currency [0]"/>
    <tableColumn id="8" xr3:uid="{7E69B319-AF2C-1343-B7F2-6B5619724520}" name="Ticke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6E7DA5-2F4B-254D-A44B-E750DBA567A2}" name="Table1" displayName="Table1" ref="D1:I7" totalsRowShown="0">
  <autoFilter ref="D1:I7" xr:uid="{E16E7DA5-2F4B-254D-A44B-E750DBA567A2}"/>
  <tableColumns count="6">
    <tableColumn id="1" xr3:uid="{F0C946F8-F13A-9D45-9D65-7104BE34DEA7}" name="Nombre"/>
    <tableColumn id="2" xr3:uid="{404DFE96-35CE-0A4B-8416-B4745CC1A004}" name="enero" dataDxfId="8"/>
    <tableColumn id="3" xr3:uid="{35DA74DF-4AD8-C748-9DAC-A36AC1FC1005}" name="febrero" dataDxfId="7"/>
    <tableColumn id="4" xr3:uid="{08323AF8-CF56-2F48-9926-207A38E45ECD}" name="marzo" dataDxfId="6"/>
    <tableColumn id="5" xr3:uid="{69AC57E1-0949-C543-B393-EA97FBE0DB66}" name="abril" dataDxfId="5"/>
    <tableColumn id="6" xr3:uid="{FBCF412E-274D-0847-BBC8-457032572077}" name="mayo"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2A48D2-0497-4843-A116-8300AC078780}" name="Table2" displayName="Table2" ref="A1:G10" totalsRowShown="0">
  <autoFilter ref="A1:G10" xr:uid="{EC2A48D2-0497-4843-A116-8300AC078780}"/>
  <tableColumns count="7">
    <tableColumn id="1" xr3:uid="{96774C9F-EEF9-6A45-84DE-63643854AAA1}" name="Mes"/>
    <tableColumn id="2" xr3:uid="{B3C6BEE8-DC82-7346-89EB-428553BC69D5}" name="Enero" dataDxfId="3" dataCellStyle="Currency [0]"/>
    <tableColumn id="3" xr3:uid="{3DEB020B-92F7-BB4D-837D-C4D0A68AD342}" name="Febrero" dataDxfId="2" dataCellStyle="Currency [0]"/>
    <tableColumn id="4" xr3:uid="{15D2757A-43B5-0B49-B0C7-7211DAA6B919}" name="Marzo" dataDxfId="1" dataCellStyle="Currency [0]"/>
    <tableColumn id="5" xr3:uid="{41677918-4C9B-9148-B39F-347E197F7719}" name="Abril"/>
    <tableColumn id="6" xr3:uid="{7B85DC3E-FE7C-0E4C-8D16-51E1A7567966}" name="Mayo"/>
    <tableColumn id="7" xr3:uid="{3AE0A704-C79B-DE45-9E73-9C2936E99EDA}" name="Junio" dataDxfId="0">
      <calculatedColumnFormula>SUM(B2:D2)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BF06D-9A56-624F-A179-3DAB8C85300E}">
  <dimension ref="A1:F9"/>
  <sheetViews>
    <sheetView workbookViewId="0">
      <selection activeCell="C23" sqref="C23"/>
    </sheetView>
  </sheetViews>
  <sheetFormatPr baseColWidth="10" defaultRowHeight="15" x14ac:dyDescent="0.2"/>
  <cols>
    <col min="1" max="1" width="12.1640625" bestFit="1" customWidth="1"/>
    <col min="2" max="2" width="17.83203125" bestFit="1" customWidth="1"/>
    <col min="3" max="3" width="18.83203125" bestFit="1" customWidth="1"/>
    <col min="4" max="4" width="12" bestFit="1" customWidth="1"/>
    <col min="5" max="5" width="13.1640625" bestFit="1" customWidth="1"/>
    <col min="6" max="6" width="16.83203125" bestFit="1" customWidth="1"/>
    <col min="7" max="148" width="7.6640625" bestFit="1" customWidth="1"/>
    <col min="149" max="149" width="8.6640625" bestFit="1" customWidth="1"/>
    <col min="150" max="151" width="11.1640625" bestFit="1" customWidth="1"/>
    <col min="152" max="152" width="11" bestFit="1" customWidth="1"/>
  </cols>
  <sheetData>
    <row r="1" spans="1:6" x14ac:dyDescent="0.2">
      <c r="A1" s="15" t="s">
        <v>12</v>
      </c>
      <c r="B1" t="s">
        <v>77</v>
      </c>
    </row>
    <row r="3" spans="1:6" x14ac:dyDescent="0.2">
      <c r="A3" s="15" t="s">
        <v>67</v>
      </c>
      <c r="B3" t="s">
        <v>74</v>
      </c>
      <c r="C3" t="s">
        <v>75</v>
      </c>
      <c r="D3" t="s">
        <v>76</v>
      </c>
      <c r="E3" t="s">
        <v>78</v>
      </c>
      <c r="F3" t="s">
        <v>79</v>
      </c>
    </row>
    <row r="4" spans="1:6" x14ac:dyDescent="0.2">
      <c r="A4" s="16" t="s">
        <v>69</v>
      </c>
      <c r="B4" s="5">
        <v>123177</v>
      </c>
      <c r="C4" s="17">
        <v>1.5268629936193224E-2</v>
      </c>
      <c r="D4" s="18">
        <v>1216</v>
      </c>
      <c r="E4" s="5">
        <v>56299</v>
      </c>
      <c r="F4" s="19">
        <v>0.54294227006665208</v>
      </c>
    </row>
    <row r="5" spans="1:6" x14ac:dyDescent="0.2">
      <c r="A5" s="16" t="s">
        <v>70</v>
      </c>
      <c r="B5" s="5">
        <v>104939</v>
      </c>
      <c r="C5" s="17">
        <v>1.300790534656779E-2</v>
      </c>
      <c r="D5" s="18">
        <v>971</v>
      </c>
      <c r="E5" s="5">
        <v>45784</v>
      </c>
      <c r="F5" s="19">
        <v>0.56370844014141552</v>
      </c>
    </row>
    <row r="6" spans="1:6" x14ac:dyDescent="0.2">
      <c r="A6" s="16" t="s">
        <v>71</v>
      </c>
      <c r="B6" s="5">
        <v>94561</v>
      </c>
      <c r="C6" s="17">
        <v>1.1721481408025584E-2</v>
      </c>
      <c r="D6" s="18">
        <v>883</v>
      </c>
      <c r="E6" s="5">
        <v>38436</v>
      </c>
      <c r="F6" s="19">
        <v>0.59353221729888639</v>
      </c>
    </row>
    <row r="7" spans="1:6" x14ac:dyDescent="0.2">
      <c r="A7" s="16" t="s">
        <v>72</v>
      </c>
      <c r="B7" s="5">
        <v>115651</v>
      </c>
      <c r="C7" s="17">
        <v>1.4335730864939741E-2</v>
      </c>
      <c r="D7" s="18">
        <v>1066</v>
      </c>
      <c r="E7" s="5">
        <v>46674</v>
      </c>
      <c r="F7" s="19">
        <v>0.59642372309794123</v>
      </c>
    </row>
    <row r="8" spans="1:6" x14ac:dyDescent="0.2">
      <c r="A8" s="16" t="s">
        <v>73</v>
      </c>
      <c r="B8" s="5">
        <v>7628997</v>
      </c>
      <c r="C8" s="17">
        <v>0.94566625244427371</v>
      </c>
      <c r="D8" s="18">
        <v>1132</v>
      </c>
      <c r="E8" s="5">
        <v>-184872902</v>
      </c>
      <c r="F8" s="19">
        <v>25.232923672666274</v>
      </c>
    </row>
    <row r="9" spans="1:6" x14ac:dyDescent="0.2">
      <c r="A9" s="16" t="s">
        <v>68</v>
      </c>
      <c r="B9" s="5">
        <v>8067325</v>
      </c>
      <c r="C9" s="17">
        <v>1</v>
      </c>
      <c r="D9" s="18">
        <v>5268</v>
      </c>
      <c r="E9" s="5">
        <v>-184685709</v>
      </c>
      <c r="F9" s="19">
        <v>23.893054265199432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A63AB-D82C-C641-B49C-8ABF9A6B9F6A}">
  <dimension ref="A3:F23"/>
  <sheetViews>
    <sheetView zoomScale="140" zoomScaleNormal="140" workbookViewId="0">
      <selection activeCell="E21" sqref="E21"/>
    </sheetView>
  </sheetViews>
  <sheetFormatPr baseColWidth="10" defaultRowHeight="15" x14ac:dyDescent="0.2"/>
  <cols>
    <col min="1" max="1" width="19.5" bestFit="1" customWidth="1"/>
  </cols>
  <sheetData>
    <row r="3" spans="1:6" x14ac:dyDescent="0.2">
      <c r="A3" t="s">
        <v>58</v>
      </c>
      <c r="B3" s="7">
        <f>SUM(Ventas!D2:D91)</f>
        <v>355262</v>
      </c>
      <c r="D3" t="s">
        <v>58</v>
      </c>
      <c r="E3" s="7">
        <v>174638</v>
      </c>
    </row>
    <row r="4" spans="1:6" x14ac:dyDescent="0.2">
      <c r="A4" t="s">
        <v>59</v>
      </c>
      <c r="B4" s="7">
        <f>B3-SUM(Ventas!H2:H91)</f>
        <v>171284</v>
      </c>
      <c r="D4" t="s">
        <v>59</v>
      </c>
      <c r="E4" s="7">
        <f>E3*F4/100</f>
        <v>84198.972003760602</v>
      </c>
      <c r="F4">
        <f>B4/B3*100</f>
        <v>48.213431214146176</v>
      </c>
    </row>
    <row r="5" spans="1:6" x14ac:dyDescent="0.2">
      <c r="A5" s="10" t="s">
        <v>60</v>
      </c>
      <c r="B5" s="11">
        <f>B3-B4</f>
        <v>183978</v>
      </c>
      <c r="D5" s="10" t="s">
        <v>60</v>
      </c>
      <c r="E5" s="11">
        <f>E3-E4</f>
        <v>90439.027996239398</v>
      </c>
    </row>
    <row r="8" spans="1:6" x14ac:dyDescent="0.2">
      <c r="A8" t="s">
        <v>44</v>
      </c>
      <c r="B8" s="8">
        <f>SUM('Gastos mensuales'!B2:D2)</f>
        <v>27820</v>
      </c>
      <c r="C8" s="8"/>
      <c r="D8" t="s">
        <v>44</v>
      </c>
      <c r="E8" s="8">
        <f>SUM('Gastos mensuales'!B2:D2)</f>
        <v>27820</v>
      </c>
    </row>
    <row r="9" spans="1:6" x14ac:dyDescent="0.2">
      <c r="A9" t="s">
        <v>45</v>
      </c>
      <c r="B9" s="8">
        <f>SUM('Gastos mensuales'!B3:D3)</f>
        <v>4733</v>
      </c>
      <c r="C9" s="8"/>
      <c r="D9" t="s">
        <v>45</v>
      </c>
      <c r="E9" s="8">
        <f>SUM('Gastos mensuales'!B3:D3)</f>
        <v>4733</v>
      </c>
    </row>
    <row r="10" spans="1:6" x14ac:dyDescent="0.2">
      <c r="A10" t="s">
        <v>48</v>
      </c>
      <c r="B10" s="8">
        <f>SUM('Gastos mensuales'!B4:D4)</f>
        <v>1650</v>
      </c>
      <c r="C10" s="8"/>
      <c r="D10" t="s">
        <v>48</v>
      </c>
      <c r="E10" s="8">
        <f>SUM('Gastos mensuales'!B4:D4)</f>
        <v>1650</v>
      </c>
    </row>
    <row r="11" spans="1:6" x14ac:dyDescent="0.2">
      <c r="A11" t="s">
        <v>49</v>
      </c>
      <c r="B11" s="8">
        <f>SUM('Gastos mensuales'!B5:D5)</f>
        <v>7357</v>
      </c>
      <c r="C11" s="8"/>
      <c r="D11" t="s">
        <v>49</v>
      </c>
      <c r="E11" s="8">
        <f>SUM('Gastos mensuales'!B5:D5)</f>
        <v>7357</v>
      </c>
    </row>
    <row r="12" spans="1:6" x14ac:dyDescent="0.2">
      <c r="A12" t="s">
        <v>51</v>
      </c>
      <c r="B12" s="8">
        <f>SUM('Gastos mensuales'!B6:D6)</f>
        <v>5000</v>
      </c>
      <c r="C12" s="8"/>
      <c r="D12" t="s">
        <v>51</v>
      </c>
      <c r="E12" s="8">
        <f>SUM('Gastos mensuales'!B6:D6)</f>
        <v>5000</v>
      </c>
    </row>
    <row r="13" spans="1:6" x14ac:dyDescent="0.2">
      <c r="A13" t="s">
        <v>52</v>
      </c>
      <c r="B13" s="8">
        <f>SUM('Gastos mensuales'!B7:D7)</f>
        <v>660</v>
      </c>
      <c r="C13" s="8"/>
      <c r="D13" t="s">
        <v>52</v>
      </c>
      <c r="E13" s="8">
        <f>SUM('Gastos mensuales'!B7:D7)</f>
        <v>660</v>
      </c>
    </row>
    <row r="14" spans="1:6" x14ac:dyDescent="0.2">
      <c r="A14" t="s">
        <v>54</v>
      </c>
      <c r="B14" s="8">
        <f>SUM('Gastos mensuales'!B8:D8)</f>
        <v>41910</v>
      </c>
      <c r="C14" s="8"/>
      <c r="D14" t="s">
        <v>54</v>
      </c>
      <c r="E14" s="8">
        <f>SUM('Gastos mensuales'!B8:D8)</f>
        <v>41910</v>
      </c>
    </row>
    <row r="15" spans="1:6" x14ac:dyDescent="0.2">
      <c r="A15" t="s">
        <v>55</v>
      </c>
      <c r="B15" s="8">
        <f>SUM('Gastos mensuales'!B9:D9)</f>
        <v>748</v>
      </c>
      <c r="C15" s="8"/>
      <c r="D15" t="s">
        <v>55</v>
      </c>
      <c r="E15" s="8">
        <f>SUM('Gastos mensuales'!B9:D9)</f>
        <v>748</v>
      </c>
    </row>
    <row r="16" spans="1:6" x14ac:dyDescent="0.2">
      <c r="A16" t="s">
        <v>56</v>
      </c>
      <c r="B16" s="8">
        <f>SUM('Gastos mensuales'!B10:D10)</f>
        <v>561</v>
      </c>
      <c r="C16" s="8"/>
      <c r="D16" t="s">
        <v>56</v>
      </c>
      <c r="E16" s="8">
        <f>SUM('Gastos mensuales'!B10:D10)</f>
        <v>561</v>
      </c>
    </row>
    <row r="17" spans="1:5" x14ac:dyDescent="0.2">
      <c r="A17" t="s">
        <v>61</v>
      </c>
      <c r="B17" s="5">
        <f>SUM(B8:B16)</f>
        <v>90439</v>
      </c>
      <c r="D17" t="s">
        <v>61</v>
      </c>
      <c r="E17" s="8">
        <f>SUM(E8:E16)</f>
        <v>90439</v>
      </c>
    </row>
    <row r="18" spans="1:5" x14ac:dyDescent="0.2">
      <c r="A18" s="12" t="s">
        <v>62</v>
      </c>
      <c r="B18" s="13">
        <f>B5-B17</f>
        <v>93539</v>
      </c>
      <c r="D18" s="12" t="s">
        <v>62</v>
      </c>
      <c r="E18" s="13">
        <f>E5-E17</f>
        <v>2.799623939790763E-2</v>
      </c>
    </row>
    <row r="21" spans="1:5" x14ac:dyDescent="0.2">
      <c r="A21" t="s">
        <v>63</v>
      </c>
      <c r="B21" s="7">
        <f>B18</f>
        <v>93539</v>
      </c>
      <c r="D21" t="s">
        <v>63</v>
      </c>
      <c r="E21" s="7">
        <f>E18</f>
        <v>2.799623939790763E-2</v>
      </c>
    </row>
    <row r="22" spans="1:5" x14ac:dyDescent="0.2">
      <c r="A22" t="s">
        <v>66</v>
      </c>
      <c r="B22" s="14">
        <f>B5/B3</f>
        <v>0.51786568785853826</v>
      </c>
      <c r="D22" t="s">
        <v>66</v>
      </c>
      <c r="E22" s="14">
        <f>E5/E3</f>
        <v>0.51786568785853826</v>
      </c>
    </row>
    <row r="23" spans="1:5" x14ac:dyDescent="0.2">
      <c r="A23" t="s">
        <v>65</v>
      </c>
      <c r="B23" s="5">
        <f>B17/B22</f>
        <v>174637.94593918836</v>
      </c>
      <c r="D23" t="s">
        <v>65</v>
      </c>
      <c r="E23" s="5">
        <f>E17/E22</f>
        <v>174637.94593918836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D256-5917-0744-A00D-3C4D87F312CD}">
  <dimension ref="A1:O48"/>
  <sheetViews>
    <sheetView tabSelected="1" topLeftCell="A16" zoomScale="132" zoomScaleNormal="132" workbookViewId="0">
      <selection activeCell="D53" sqref="D53"/>
    </sheetView>
  </sheetViews>
  <sheetFormatPr baseColWidth="10" defaultRowHeight="16" x14ac:dyDescent="0.2"/>
  <cols>
    <col min="1" max="1" width="10.83203125" style="21"/>
    <col min="2" max="2" width="16.33203125" style="21" bestFit="1" customWidth="1"/>
    <col min="3" max="3" width="15.1640625" customWidth="1"/>
    <col min="4" max="4" width="13.83203125" customWidth="1"/>
    <col min="5" max="5" width="14.83203125" customWidth="1"/>
    <col min="6" max="6" width="13.6640625" customWidth="1"/>
    <col min="7" max="7" width="18.83203125" customWidth="1"/>
    <col min="8" max="8" width="9.83203125" bestFit="1" customWidth="1"/>
    <col min="9" max="9" width="14.33203125" customWidth="1"/>
    <col min="10" max="10" width="18.83203125" customWidth="1"/>
    <col min="11" max="11" width="8" customWidth="1"/>
    <col min="12" max="15" width="9.83203125" bestFit="1" customWidth="1"/>
  </cols>
  <sheetData>
    <row r="1" spans="1:2" s="20" customFormat="1" ht="15" x14ac:dyDescent="0.2">
      <c r="A1" s="32" t="s">
        <v>111</v>
      </c>
      <c r="B1" s="32"/>
    </row>
    <row r="2" spans="1:2" s="20" customFormat="1" ht="15" x14ac:dyDescent="0.2">
      <c r="A2" s="32"/>
      <c r="B2" s="32"/>
    </row>
    <row r="19" spans="1:3" s="20" customFormat="1" ht="15" x14ac:dyDescent="0.2">
      <c r="A19" s="32" t="s">
        <v>116</v>
      </c>
      <c r="B19" s="32"/>
    </row>
    <row r="20" spans="1:3" s="20" customFormat="1" ht="15" x14ac:dyDescent="0.2">
      <c r="A20" s="32"/>
      <c r="B20" s="32"/>
    </row>
    <row r="22" spans="1:3" ht="17" x14ac:dyDescent="0.2">
      <c r="B22" s="21" t="s">
        <v>33</v>
      </c>
      <c r="C22" s="21" t="s">
        <v>43</v>
      </c>
    </row>
    <row r="24" spans="1:3" x14ac:dyDescent="0.2">
      <c r="B24" s="31" t="s">
        <v>117</v>
      </c>
      <c r="C24" s="5">
        <f>D48</f>
        <v>133186</v>
      </c>
    </row>
    <row r="25" spans="1:3" ht="17" x14ac:dyDescent="0.2">
      <c r="B25" s="21" t="s">
        <v>118</v>
      </c>
      <c r="C25" s="5">
        <f>I48</f>
        <v>54487</v>
      </c>
    </row>
    <row r="26" spans="1:3" ht="17" x14ac:dyDescent="0.2">
      <c r="B26" s="21" t="s">
        <v>12</v>
      </c>
      <c r="C26" s="5">
        <f>H48</f>
        <v>78699</v>
      </c>
    </row>
    <row r="27" spans="1:3" ht="34" x14ac:dyDescent="0.2">
      <c r="B27" s="21" t="s">
        <v>119</v>
      </c>
      <c r="C27" s="19">
        <f>J48</f>
        <v>0.40910456053939603</v>
      </c>
    </row>
    <row r="38" spans="2:15" x14ac:dyDescent="0.2">
      <c r="D38">
        <v>1</v>
      </c>
      <c r="E38">
        <v>2</v>
      </c>
      <c r="F38">
        <v>3</v>
      </c>
      <c r="G38">
        <v>4</v>
      </c>
      <c r="H38">
        <v>5</v>
      </c>
      <c r="I38">
        <v>6</v>
      </c>
      <c r="J38">
        <v>7</v>
      </c>
      <c r="K38">
        <v>8</v>
      </c>
      <c r="L38">
        <v>9</v>
      </c>
      <c r="M38">
        <v>10</v>
      </c>
      <c r="N38">
        <v>11</v>
      </c>
      <c r="O38">
        <v>12</v>
      </c>
    </row>
    <row r="39" spans="2:15" ht="17" x14ac:dyDescent="0.2">
      <c r="B39" s="22" t="s">
        <v>33</v>
      </c>
      <c r="C39" s="23" t="s">
        <v>113</v>
      </c>
      <c r="D39" s="23" t="s">
        <v>8</v>
      </c>
      <c r="E39" s="23" t="s">
        <v>9</v>
      </c>
      <c r="F39" s="23" t="s">
        <v>10</v>
      </c>
      <c r="G39" s="23" t="s">
        <v>11</v>
      </c>
      <c r="H39" s="23" t="s">
        <v>12</v>
      </c>
      <c r="I39" s="23" t="s">
        <v>114</v>
      </c>
      <c r="J39" s="23" t="s">
        <v>115</v>
      </c>
      <c r="K39" s="23" t="s">
        <v>13</v>
      </c>
      <c r="L39" s="23" t="s">
        <v>36</v>
      </c>
      <c r="M39" s="23" t="s">
        <v>37</v>
      </c>
      <c r="N39" s="23" t="s">
        <v>38</v>
      </c>
      <c r="O39" s="23" t="s">
        <v>112</v>
      </c>
    </row>
    <row r="40" spans="2:15" x14ac:dyDescent="0.2">
      <c r="B40" t="s">
        <v>39</v>
      </c>
      <c r="C40" s="18">
        <v>1</v>
      </c>
      <c r="D40" s="5">
        <f>SUMIF(Ventas!$B:$B,DashBoard!$C40,Ventas!D:D)</f>
        <v>123177</v>
      </c>
      <c r="E40" s="5">
        <f>SUMIF(Ventas!$B:$B,DashBoard!$C40,Ventas!E:E)</f>
        <v>106378</v>
      </c>
      <c r="F40" s="5">
        <f>SUMIF(Ventas!$B:$B,DashBoard!$C40,Ventas!F:F)</f>
        <v>11656</v>
      </c>
      <c r="G40" s="5">
        <f>SUMIF(Ventas!$B:$B,DashBoard!$C40,Ventas!G:G)</f>
        <v>5132</v>
      </c>
      <c r="H40" s="5">
        <f>SUMIF(Ventas!$B:$B,DashBoard!$C40,Ventas!H:H)</f>
        <v>66878</v>
      </c>
      <c r="I40" s="5">
        <f>D40-H40</f>
        <v>56299</v>
      </c>
      <c r="J40" s="14">
        <f t="shared" ref="J40:J45" si="0">I40/D40</f>
        <v>0.45705772993334792</v>
      </c>
      <c r="K40" s="18">
        <f>SUMIF(Ventas!$B:$B,DashBoard!$C40,Ventas!I:I)</f>
        <v>1216</v>
      </c>
      <c r="L40" s="5">
        <f>INDEX('Ventas x tienda'!$D$2:$F$6,MATCH(DashBoard!$C40,'Ventas x tienda'!$A$2:$A$6,0),MATCH(DashBoard!L$39,'Ventas x tienda'!$D$1:$F$1,0))</f>
        <v>45580</v>
      </c>
      <c r="M40" s="5">
        <f>INDEX('Ventas x tienda'!$D$2:$F$6,MATCH(DashBoard!$C40,'Ventas x tienda'!$A$2:$A$6,0),MATCH(DashBoard!M$39,'Ventas x tienda'!$D$1:$F$1,0))</f>
        <v>34493</v>
      </c>
      <c r="N40" s="5">
        <f>INDEX('Ventas x tienda'!$D$2:$F$6,MATCH(DashBoard!$C40,'Ventas x tienda'!$A$2:$A$6,0),MATCH(DashBoard!N$39,'Ventas x tienda'!$D$1:$F$1,0))</f>
        <v>43116</v>
      </c>
      <c r="O40" s="5">
        <f>DSUM(Table2[#All],DashBoard!$B40,Table2[[#All],[Mes]])</f>
        <v>28156</v>
      </c>
    </row>
    <row r="41" spans="2:15" x14ac:dyDescent="0.2">
      <c r="B41" t="s">
        <v>40</v>
      </c>
      <c r="C41" s="18">
        <v>2</v>
      </c>
      <c r="D41" s="5">
        <f>SUMIF(Ventas!$B:$B,DashBoard!$C41,Ventas!D:D)</f>
        <v>110673</v>
      </c>
      <c r="E41" s="5">
        <f>SUMIF(Ventas!$B:$B,DashBoard!$C41,Ventas!E:E)</f>
        <v>93410</v>
      </c>
      <c r="F41" s="5">
        <f>SUMIF(Ventas!$B:$B,DashBoard!$C41,Ventas!F:F)</f>
        <v>17252</v>
      </c>
      <c r="G41" s="5">
        <f>SUMIF(Ventas!$B:$B,DashBoard!$C41,Ventas!G:G)</f>
        <v>0</v>
      </c>
      <c r="H41" s="5">
        <f>SUMIF(Ventas!$B:$B,DashBoard!$C41,Ventas!H:H)</f>
        <v>59979</v>
      </c>
      <c r="I41" s="5">
        <f t="shared" ref="I41:I44" si="1">D41-H41</f>
        <v>50694</v>
      </c>
      <c r="J41" s="14">
        <f t="shared" si="0"/>
        <v>0.45805209942804476</v>
      </c>
      <c r="K41" s="18">
        <f>SUMIF(Ventas!$B:$B,DashBoard!$C41,Ventas!I:I)</f>
        <v>1025</v>
      </c>
      <c r="L41" s="5">
        <f>INDEX('Ventas x tienda'!$D$2:$F$6,MATCH(DashBoard!$C41,'Ventas x tienda'!$A$2:$A$6,0),MATCH(DashBoard!L$39,'Ventas x tienda'!$D$1:$F$1,0))</f>
        <v>41884</v>
      </c>
      <c r="M41" s="5">
        <f>INDEX('Ventas x tienda'!$D$2:$F$6,MATCH(DashBoard!$C41,'Ventas x tienda'!$A$2:$A$6,0),MATCH(DashBoard!M$39,'Ventas x tienda'!$D$1:$F$1,0))</f>
        <v>35725</v>
      </c>
      <c r="N41" s="5">
        <f>INDEX('Ventas x tienda'!$D$2:$F$6,MATCH(DashBoard!$C41,'Ventas x tienda'!$A$2:$A$6,0),MATCH(DashBoard!N$39,'Ventas x tienda'!$D$1:$F$1,0))</f>
        <v>33078</v>
      </c>
      <c r="O41" s="5">
        <f>DSUM(Table2[#All],DashBoard!$B41,Table2[[#All],[Mes]])</f>
        <v>28564</v>
      </c>
    </row>
    <row r="42" spans="2:15" x14ac:dyDescent="0.2">
      <c r="B42" t="s">
        <v>41</v>
      </c>
      <c r="C42" s="18">
        <v>3</v>
      </c>
      <c r="D42" s="5">
        <f>SUMIF(Ventas!$B:$B,DashBoard!$C42,Ventas!D:D)</f>
        <v>121412</v>
      </c>
      <c r="E42" s="5">
        <f>SUMIF(Ventas!$B:$B,DashBoard!$C42,Ventas!E:E)</f>
        <v>103157</v>
      </c>
      <c r="F42" s="5">
        <f>SUMIF(Ventas!$B:$B,DashBoard!$C42,Ventas!F:F)</f>
        <v>18070</v>
      </c>
      <c r="G42" s="5">
        <f>SUMIF(Ventas!$B:$B,DashBoard!$C42,Ventas!G:G)</f>
        <v>175</v>
      </c>
      <c r="H42" s="5">
        <f>SUMIF(Ventas!$B:$B,DashBoard!$C42,Ventas!H:H)</f>
        <v>57121</v>
      </c>
      <c r="I42" s="5">
        <f t="shared" si="1"/>
        <v>64291</v>
      </c>
      <c r="J42" s="14">
        <f t="shared" si="0"/>
        <v>0.52952755905511806</v>
      </c>
      <c r="K42" s="18">
        <f>SUMIF(Ventas!$B:$B,DashBoard!$C42,Ventas!I:I)</f>
        <v>1124</v>
      </c>
      <c r="L42" s="5">
        <f>INDEX('Ventas x tienda'!$D$2:$F$6,MATCH(DashBoard!$C42,'Ventas x tienda'!$A$2:$A$6,0),MATCH(DashBoard!L$39,'Ventas x tienda'!$D$1:$F$1,0))</f>
        <v>44348</v>
      </c>
      <c r="M42" s="5">
        <f>INDEX('Ventas x tienda'!$D$2:$F$6,MATCH(DashBoard!$C42,'Ventas x tienda'!$A$2:$A$6,0),MATCH(DashBoard!M$39,'Ventas x tienda'!$D$1:$F$1,0))</f>
        <v>36957</v>
      </c>
      <c r="N42" s="5">
        <f>INDEX('Ventas x tienda'!$D$2:$F$6,MATCH(DashBoard!$C42,'Ventas x tienda'!$A$2:$A$6,0),MATCH(DashBoard!N$39,'Ventas x tienda'!$D$1:$F$1,0))</f>
        <v>40121</v>
      </c>
      <c r="O42" s="5">
        <f>DSUM(Table2[#All],DashBoard!$B42,Table2[[#All],[Mes]])</f>
        <v>33719</v>
      </c>
    </row>
    <row r="43" spans="2:15" x14ac:dyDescent="0.2">
      <c r="B43" t="s">
        <v>42</v>
      </c>
      <c r="C43" s="18">
        <v>4</v>
      </c>
      <c r="D43" s="5">
        <f>SUMIF(Ventas!$B:$B,DashBoard!$C43,Ventas!D:D)</f>
        <v>118542</v>
      </c>
      <c r="E43" s="5">
        <f>SUMIF(Ventas!$B:$B,DashBoard!$C43,Ventas!E:E)</f>
        <v>104113</v>
      </c>
      <c r="F43" s="5">
        <f>SUMIF(Ventas!$B:$B,DashBoard!$C43,Ventas!F:F)</f>
        <v>14415</v>
      </c>
      <c r="G43" s="5">
        <f>SUMIF(Ventas!$B:$B,DashBoard!$C43,Ventas!G:G)</f>
        <v>0</v>
      </c>
      <c r="H43" s="5">
        <f>SUMIF(Ventas!$B:$B,DashBoard!$C43,Ventas!H:H)</f>
        <v>70708</v>
      </c>
      <c r="I43" s="5">
        <f t="shared" si="1"/>
        <v>47834</v>
      </c>
      <c r="J43" s="14">
        <f t="shared" si="0"/>
        <v>0.40351942771338428</v>
      </c>
      <c r="K43" s="18">
        <f>SUMIF(Ventas!$B:$B,DashBoard!$C43,Ventas!I:I)</f>
        <v>1100</v>
      </c>
      <c r="L43" s="5">
        <f>INDEX('Ventas x tienda'!$D$2:$F$6,MATCH(DashBoard!$C43,'Ventas x tienda'!$A$2:$A$6,0),MATCH(DashBoard!L$39,'Ventas x tienda'!$D$1:$F$1,0))</f>
        <v>43116</v>
      </c>
      <c r="M43" s="5">
        <f>INDEX('Ventas x tienda'!$D$2:$F$6,MATCH(DashBoard!$C43,'Ventas x tienda'!$A$2:$A$6,0),MATCH(DashBoard!M$39,'Ventas x tienda'!$D$1:$F$1,0))</f>
        <v>36957</v>
      </c>
      <c r="N43" s="5">
        <f>INDEX('Ventas x tienda'!$D$2:$F$6,MATCH(DashBoard!$C43,'Ventas x tienda'!$A$2:$A$6,0),MATCH(DashBoard!N$39,'Ventas x tienda'!$D$1:$F$1,0))</f>
        <v>38483</v>
      </c>
      <c r="O43" s="5">
        <f>DSUM(Table2[#All],DashBoard!$B43,Table2[[#All],[Mes]])</f>
        <v>33307</v>
      </c>
    </row>
    <row r="44" spans="2:15" x14ac:dyDescent="0.2">
      <c r="B44" t="s">
        <v>43</v>
      </c>
      <c r="C44" s="18">
        <v>5</v>
      </c>
      <c r="D44" s="5">
        <f>SUMIF(Ventas!$B:$B,DashBoard!$C44,Ventas!D:D)</f>
        <v>133186</v>
      </c>
      <c r="E44" s="5">
        <f>SUMIF(Ventas!$B:$B,DashBoard!$C44,Ventas!E:E)</f>
        <v>110865</v>
      </c>
      <c r="F44" s="5">
        <f>SUMIF(Ventas!$B:$B,DashBoard!$C44,Ventas!F:F)</f>
        <v>1020364</v>
      </c>
      <c r="G44" s="5">
        <f>SUMIF(Ventas!$B:$B,DashBoard!$C44,Ventas!G:G)</f>
        <v>2147</v>
      </c>
      <c r="H44" s="5">
        <f>SUMIF(Ventas!$B:$B,DashBoard!$C44,Ventas!H:H)</f>
        <v>78699</v>
      </c>
      <c r="I44" s="5">
        <f t="shared" si="1"/>
        <v>54487</v>
      </c>
      <c r="J44" s="14">
        <f t="shared" si="0"/>
        <v>0.40910456053939603</v>
      </c>
      <c r="K44" s="18">
        <f>SUMIF(Ventas!$B:$B,DashBoard!$C44,Ventas!I:I)</f>
        <v>1132</v>
      </c>
      <c r="L44" s="5">
        <f>INDEX('Ventas x tienda'!$D$2:$F$6,MATCH(DashBoard!$C44,'Ventas x tienda'!$A$2:$A$6,0),MATCH(DashBoard!L$39,'Ventas x tienda'!$D$1:$F$1,0))</f>
        <v>43116</v>
      </c>
      <c r="M44" s="5">
        <f>INDEX('Ventas x tienda'!$D$2:$F$6,MATCH(DashBoard!$C44,'Ventas x tienda'!$A$2:$A$6,0),MATCH(DashBoard!M$39,'Ventas x tienda'!$D$1:$F$1,0))</f>
        <v>34493</v>
      </c>
      <c r="N44" s="5">
        <f>INDEX('Ventas x tienda'!$D$2:$F$6,MATCH(DashBoard!$C44,'Ventas x tienda'!$A$2:$A$6,0),MATCH(DashBoard!N$39,'Ventas x tienda'!$D$1:$F$1,0))</f>
        <v>48092</v>
      </c>
      <c r="O44" s="5">
        <f>DSUM(Table2[#All],DashBoard!$B44,Table2[[#All],[Mes]])</f>
        <v>29004</v>
      </c>
    </row>
    <row r="45" spans="2:15" ht="17" x14ac:dyDescent="0.2">
      <c r="B45" s="24" t="s">
        <v>35</v>
      </c>
      <c r="C45" s="25"/>
      <c r="D45" s="26">
        <f>SUM(D40:D44)</f>
        <v>606990</v>
      </c>
      <c r="E45" s="26">
        <f t="shared" ref="E45:F45" si="2">SUM(E40:E44)</f>
        <v>517923</v>
      </c>
      <c r="F45" s="26">
        <f t="shared" si="2"/>
        <v>1081757</v>
      </c>
      <c r="G45" s="26">
        <f>SUM(G40:G44)</f>
        <v>7454</v>
      </c>
      <c r="H45" s="26">
        <f>SUM(H40:H44)</f>
        <v>333385</v>
      </c>
      <c r="I45" s="26">
        <f>SUM(I40:I44)</f>
        <v>273605</v>
      </c>
      <c r="J45" s="14">
        <f t="shared" si="0"/>
        <v>0.45075701411884872</v>
      </c>
      <c r="K45" s="25">
        <f t="shared" ref="K45:L45" si="3">SUM(K40:K44)</f>
        <v>5597</v>
      </c>
      <c r="L45" s="26">
        <f t="shared" si="3"/>
        <v>218044</v>
      </c>
      <c r="M45" s="26">
        <f>SUM(M40:M44)</f>
        <v>178625</v>
      </c>
      <c r="N45" s="26">
        <f>SUM(N40:N44)</f>
        <v>202890</v>
      </c>
      <c r="O45" s="26">
        <f>SUM(O40:O44)</f>
        <v>152750</v>
      </c>
    </row>
    <row r="48" spans="2:15" ht="17" x14ac:dyDescent="0.2">
      <c r="B48" s="27" t="str">
        <f>C22</f>
        <v>Mayo</v>
      </c>
      <c r="C48" s="27">
        <f>VLOOKUP(B48,$B$40:$C$44,2,FALSE)</f>
        <v>5</v>
      </c>
      <c r="D48" s="28" cm="1">
        <f t="array" ref="D48">INDEX($D$40:$O$44,$C$48,D$38)</f>
        <v>133186</v>
      </c>
      <c r="E48" s="28" cm="1">
        <f t="array" ref="E48">INDEX($D$40:$O$44,$C$48,E$38)</f>
        <v>110865</v>
      </c>
      <c r="F48" s="28" cm="1">
        <f t="array" ref="F48">INDEX($D$40:$O$44,$C$48,F$38)</f>
        <v>1020364</v>
      </c>
      <c r="G48" s="28" cm="1">
        <f t="array" ref="G48">INDEX($D$40:$O$44,$C$48,G$38)</f>
        <v>2147</v>
      </c>
      <c r="H48" s="28" cm="1">
        <f t="array" ref="H48">INDEX($D$40:$O$44,$C$48,H$38)</f>
        <v>78699</v>
      </c>
      <c r="I48" s="28" cm="1">
        <f t="array" ref="I48">INDEX($D$40:$O$44,$C$48,I$38)</f>
        <v>54487</v>
      </c>
      <c r="J48" s="29" cm="1">
        <f t="array" ref="J48">INDEX($D$40:$O$44,$C$48,J$38)</f>
        <v>0.40910456053939603</v>
      </c>
      <c r="K48" s="30" cm="1">
        <f t="array" ref="K48">INDEX($D$40:$O$44,$C$48,K$38)</f>
        <v>1132</v>
      </c>
      <c r="L48" s="28" cm="1">
        <f t="array" ref="L48">INDEX($D$40:$O$44,$C$48,L$38)</f>
        <v>43116</v>
      </c>
      <c r="M48" s="28" cm="1">
        <f t="array" ref="M48">INDEX($D$40:$O$44,$C$48,M$38)</f>
        <v>34493</v>
      </c>
      <c r="N48" s="28" cm="1">
        <f t="array" ref="N48">INDEX($D$40:$O$44,$C$48,N$38)</f>
        <v>48092</v>
      </c>
      <c r="O48" s="28" cm="1">
        <f t="array" ref="O48">INDEX($D$40:$O$44,$C$48,O$38)</f>
        <v>29004</v>
      </c>
    </row>
  </sheetData>
  <mergeCells count="2">
    <mergeCell ref="A1:B2"/>
    <mergeCell ref="A19:B20"/>
  </mergeCells>
  <dataValidations count="1">
    <dataValidation type="list" allowBlank="1" showInputMessage="1" showErrorMessage="1" sqref="C22" xr:uid="{34B2922B-326C-464C-AE8C-9A7A6FD07360}">
      <formula1>$B$40:$B$44</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68A6B-4F66-49B3-AEDB-48F8AD760459}">
  <dimension ref="A1:F6"/>
  <sheetViews>
    <sheetView workbookViewId="0">
      <selection activeCell="E3" sqref="E3"/>
    </sheetView>
  </sheetViews>
  <sheetFormatPr baseColWidth="10" defaultColWidth="10.83203125" defaultRowHeight="15" x14ac:dyDescent="0.2"/>
  <sheetData>
    <row r="1" spans="1:6" x14ac:dyDescent="0.2">
      <c r="A1" t="s">
        <v>33</v>
      </c>
      <c r="B1" t="s">
        <v>34</v>
      </c>
      <c r="C1" t="s">
        <v>35</v>
      </c>
      <c r="D1" t="s">
        <v>36</v>
      </c>
      <c r="E1" t="s">
        <v>37</v>
      </c>
      <c r="F1" t="s">
        <v>38</v>
      </c>
    </row>
    <row r="2" spans="1:6" x14ac:dyDescent="0.2">
      <c r="A2">
        <v>1</v>
      </c>
      <c r="B2">
        <v>2022</v>
      </c>
      <c r="C2" s="5">
        <v>123191</v>
      </c>
      <c r="D2" s="5">
        <v>45580</v>
      </c>
      <c r="E2" s="5">
        <v>34493</v>
      </c>
      <c r="F2" s="5">
        <v>43116</v>
      </c>
    </row>
    <row r="3" spans="1:6" x14ac:dyDescent="0.2">
      <c r="A3">
        <v>2</v>
      </c>
      <c r="B3">
        <v>2022</v>
      </c>
      <c r="C3" s="5">
        <v>110688</v>
      </c>
      <c r="D3" s="5">
        <v>41884</v>
      </c>
      <c r="E3" s="5">
        <v>35725</v>
      </c>
      <c r="F3" s="5">
        <v>33078</v>
      </c>
    </row>
    <row r="4" spans="1:6" x14ac:dyDescent="0.2">
      <c r="A4">
        <v>3</v>
      </c>
      <c r="B4">
        <v>2022</v>
      </c>
      <c r="C4" s="5">
        <v>121427</v>
      </c>
      <c r="D4" s="5">
        <v>44348</v>
      </c>
      <c r="E4" s="5">
        <v>36957</v>
      </c>
      <c r="F4" s="5">
        <v>40121</v>
      </c>
    </row>
    <row r="5" spans="1:6" x14ac:dyDescent="0.2">
      <c r="A5">
        <v>4</v>
      </c>
      <c r="B5">
        <v>2022</v>
      </c>
      <c r="C5" s="5">
        <v>118557</v>
      </c>
      <c r="D5" s="5">
        <v>43116</v>
      </c>
      <c r="E5" s="5">
        <v>36957</v>
      </c>
      <c r="F5" s="5">
        <v>38483</v>
      </c>
    </row>
    <row r="6" spans="1:6" x14ac:dyDescent="0.2">
      <c r="A6">
        <v>5</v>
      </c>
      <c r="B6">
        <v>2022</v>
      </c>
      <c r="C6" s="5">
        <v>133205</v>
      </c>
      <c r="D6" s="5">
        <v>43116</v>
      </c>
      <c r="E6" s="5">
        <v>34493</v>
      </c>
      <c r="F6" s="5">
        <v>48092</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ADA3-4C22-4CF9-8AD3-3A127D5F6CB1}">
  <dimension ref="A1:O152"/>
  <sheetViews>
    <sheetView topLeftCell="A112" zoomScale="117" zoomScaleNormal="117" workbookViewId="0">
      <selection activeCell="I2" sqref="I2:I152"/>
    </sheetView>
  </sheetViews>
  <sheetFormatPr baseColWidth="10" defaultColWidth="10.83203125" defaultRowHeight="15" outlineLevelRow="1" x14ac:dyDescent="0.2"/>
  <cols>
    <col min="3" max="3" width="15.33203125" customWidth="1"/>
    <col min="4" max="4" width="16.1640625" customWidth="1"/>
    <col min="5" max="5" width="15.1640625" customWidth="1"/>
    <col min="6" max="6" width="20.1640625" customWidth="1"/>
    <col min="7" max="7" width="15.6640625" bestFit="1" customWidth="1"/>
    <col min="12" max="12" width="19" customWidth="1"/>
    <col min="13" max="13" width="17.5" bestFit="1" customWidth="1"/>
  </cols>
  <sheetData>
    <row r="1" spans="1:15" x14ac:dyDescent="0.2">
      <c r="A1" s="6" t="s">
        <v>7</v>
      </c>
      <c r="B1" s="6" t="s">
        <v>33</v>
      </c>
      <c r="C1" s="6" t="s">
        <v>88</v>
      </c>
      <c r="D1" s="9" t="s">
        <v>8</v>
      </c>
      <c r="E1" s="9" t="s">
        <v>9</v>
      </c>
      <c r="F1" s="9" t="s">
        <v>10</v>
      </c>
      <c r="G1" s="9" t="s">
        <v>11</v>
      </c>
      <c r="H1" s="9" t="s">
        <v>12</v>
      </c>
      <c r="I1" s="6" t="s">
        <v>13</v>
      </c>
      <c r="M1" t="s">
        <v>33</v>
      </c>
      <c r="N1" t="s">
        <v>88</v>
      </c>
      <c r="O1" t="s">
        <v>34</v>
      </c>
    </row>
    <row r="2" spans="1:15" outlineLevel="1" x14ac:dyDescent="0.2">
      <c r="A2" s="4">
        <v>44562</v>
      </c>
      <c r="B2" s="18">
        <f>MONTH(A2)</f>
        <v>1</v>
      </c>
      <c r="C2" s="18">
        <f>WEEKDAY(Table3[[#This Row],[Fecha]])</f>
        <v>7</v>
      </c>
      <c r="D2" s="8">
        <v>0</v>
      </c>
      <c r="E2" s="8">
        <v>0</v>
      </c>
      <c r="F2" s="8">
        <v>0</v>
      </c>
      <c r="G2" s="8">
        <v>0</v>
      </c>
      <c r="H2" s="8">
        <v>0</v>
      </c>
      <c r="I2">
        <v>0</v>
      </c>
      <c r="K2" t="s">
        <v>97</v>
      </c>
      <c r="L2" t="s">
        <v>96</v>
      </c>
      <c r="M2">
        <f>MATCH(K2,M14:M25,0)</f>
        <v>1</v>
      </c>
      <c r="N2">
        <f>MATCH(L2,L19:L25,0)</f>
        <v>7</v>
      </c>
    </row>
    <row r="3" spans="1:15" outlineLevel="1" x14ac:dyDescent="0.2">
      <c r="A3" s="4">
        <v>44563</v>
      </c>
      <c r="B3" s="18">
        <f t="shared" ref="B3:B66" si="0">MONTH(A3)</f>
        <v>1</v>
      </c>
      <c r="C3" s="18">
        <f>WEEKDAY(Table3[[#This Row],[Fecha]])</f>
        <v>1</v>
      </c>
      <c r="D3" s="8">
        <v>3574</v>
      </c>
      <c r="E3" s="8">
        <v>3459</v>
      </c>
      <c r="F3" s="8">
        <v>114</v>
      </c>
      <c r="G3" s="8">
        <v>0</v>
      </c>
      <c r="H3" s="8">
        <v>1908</v>
      </c>
      <c r="I3">
        <v>25</v>
      </c>
      <c r="M3" t="s">
        <v>87</v>
      </c>
      <c r="N3" t="s">
        <v>89</v>
      </c>
    </row>
    <row r="4" spans="1:15" outlineLevel="1" x14ac:dyDescent="0.2">
      <c r="A4" s="4">
        <v>44564</v>
      </c>
      <c r="B4" s="18">
        <f t="shared" si="0"/>
        <v>1</v>
      </c>
      <c r="C4" s="18">
        <f>WEEKDAY(Table3[[#This Row],[Fecha]])</f>
        <v>2</v>
      </c>
      <c r="D4" s="8">
        <v>4942</v>
      </c>
      <c r="E4" s="8">
        <v>4942</v>
      </c>
      <c r="F4" s="8">
        <v>0</v>
      </c>
      <c r="G4" s="8">
        <v>0</v>
      </c>
      <c r="H4" s="8">
        <v>2553</v>
      </c>
      <c r="I4">
        <v>47</v>
      </c>
      <c r="M4" s="5">
        <f>SUMIF(B:B,$M$2,D:D)</f>
        <v>123177</v>
      </c>
      <c r="N4" s="5">
        <f>SUMIFS(D:D,B:B,$M$2,C:C,$N$2)</f>
        <v>21358</v>
      </c>
    </row>
    <row r="5" spans="1:15" outlineLevel="1" x14ac:dyDescent="0.2">
      <c r="A5" s="4">
        <v>44565</v>
      </c>
      <c r="B5" s="18">
        <f t="shared" si="0"/>
        <v>1</v>
      </c>
      <c r="C5" s="18">
        <f>WEEKDAY(Table3[[#This Row],[Fecha]])</f>
        <v>3</v>
      </c>
      <c r="D5" s="8">
        <v>5551</v>
      </c>
      <c r="E5" s="8">
        <v>5108</v>
      </c>
      <c r="F5" s="8">
        <v>443</v>
      </c>
      <c r="G5" s="8">
        <v>0</v>
      </c>
      <c r="H5" s="8">
        <v>2692</v>
      </c>
      <c r="I5">
        <v>55</v>
      </c>
    </row>
    <row r="6" spans="1:15" outlineLevel="1" x14ac:dyDescent="0.2">
      <c r="A6" s="4">
        <v>44566</v>
      </c>
      <c r="B6" s="18">
        <f t="shared" si="0"/>
        <v>1</v>
      </c>
      <c r="C6" s="18">
        <f>WEEKDAY(Table3[[#This Row],[Fecha]])</f>
        <v>4</v>
      </c>
      <c r="D6" s="8">
        <v>6001</v>
      </c>
      <c r="E6" s="8">
        <v>5876</v>
      </c>
      <c r="F6" s="8">
        <v>125</v>
      </c>
      <c r="G6" s="8">
        <v>0</v>
      </c>
      <c r="H6" s="8">
        <v>3018</v>
      </c>
      <c r="I6">
        <v>58</v>
      </c>
    </row>
    <row r="7" spans="1:15" outlineLevel="1" x14ac:dyDescent="0.2">
      <c r="A7" s="4">
        <v>44567</v>
      </c>
      <c r="B7" s="18">
        <f t="shared" si="0"/>
        <v>1</v>
      </c>
      <c r="C7" s="18">
        <f>WEEKDAY(Table3[[#This Row],[Fecha]])</f>
        <v>5</v>
      </c>
      <c r="D7" s="8">
        <v>4118</v>
      </c>
      <c r="E7" s="8">
        <v>3962</v>
      </c>
      <c r="F7" s="8">
        <v>156</v>
      </c>
      <c r="G7" s="8">
        <v>0</v>
      </c>
      <c r="H7" s="8">
        <v>2053</v>
      </c>
      <c r="I7">
        <v>50</v>
      </c>
    </row>
    <row r="8" spans="1:15" outlineLevel="1" x14ac:dyDescent="0.2">
      <c r="A8" s="4">
        <v>44568</v>
      </c>
      <c r="B8" s="18">
        <f t="shared" si="0"/>
        <v>1</v>
      </c>
      <c r="C8" s="18">
        <f>WEEKDAY(Table3[[#This Row],[Fecha]])</f>
        <v>6</v>
      </c>
      <c r="D8" s="8">
        <v>5649</v>
      </c>
      <c r="E8" s="8">
        <v>4933</v>
      </c>
      <c r="F8" s="8">
        <v>716</v>
      </c>
      <c r="G8" s="8">
        <v>0</v>
      </c>
      <c r="H8" s="8">
        <v>2779</v>
      </c>
      <c r="I8">
        <v>59</v>
      </c>
    </row>
    <row r="9" spans="1:15" outlineLevel="1" x14ac:dyDescent="0.2">
      <c r="A9" s="4">
        <v>44569</v>
      </c>
      <c r="B9" s="18">
        <f t="shared" si="0"/>
        <v>1</v>
      </c>
      <c r="C9" s="18">
        <f>WEEKDAY(Table3[[#This Row],[Fecha]])</f>
        <v>7</v>
      </c>
      <c r="D9" s="8">
        <v>5302</v>
      </c>
      <c r="E9" s="8">
        <v>4907</v>
      </c>
      <c r="F9" s="8">
        <v>394</v>
      </c>
      <c r="G9" s="8">
        <v>0</v>
      </c>
      <c r="H9" s="8">
        <v>2587</v>
      </c>
      <c r="I9">
        <v>58</v>
      </c>
    </row>
    <row r="10" spans="1:15" outlineLevel="1" x14ac:dyDescent="0.2">
      <c r="A10" s="4">
        <v>44570</v>
      </c>
      <c r="B10" s="18">
        <f t="shared" si="0"/>
        <v>1</v>
      </c>
      <c r="C10" s="18">
        <f>WEEKDAY(Table3[[#This Row],[Fecha]])</f>
        <v>1</v>
      </c>
      <c r="D10" s="8">
        <v>3478</v>
      </c>
      <c r="E10" s="8">
        <v>1596</v>
      </c>
      <c r="F10" s="8">
        <v>1881</v>
      </c>
      <c r="G10" s="8">
        <v>0</v>
      </c>
      <c r="H10" s="8">
        <v>1746</v>
      </c>
      <c r="I10">
        <v>32</v>
      </c>
    </row>
    <row r="11" spans="1:15" outlineLevel="1" x14ac:dyDescent="0.2">
      <c r="A11" s="4">
        <v>44571</v>
      </c>
      <c r="B11" s="18">
        <f t="shared" si="0"/>
        <v>1</v>
      </c>
      <c r="C11" s="18">
        <f>WEEKDAY(Table3[[#This Row],[Fecha]])</f>
        <v>2</v>
      </c>
      <c r="D11" s="8">
        <v>7573</v>
      </c>
      <c r="E11" s="8">
        <v>2347</v>
      </c>
      <c r="F11" s="8">
        <v>94</v>
      </c>
      <c r="G11" s="8">
        <v>5132</v>
      </c>
      <c r="H11" s="8">
        <v>3802</v>
      </c>
      <c r="I11">
        <v>32</v>
      </c>
    </row>
    <row r="12" spans="1:15" outlineLevel="1" x14ac:dyDescent="0.2">
      <c r="A12" s="4">
        <v>44572</v>
      </c>
      <c r="B12" s="18">
        <f t="shared" si="0"/>
        <v>1</v>
      </c>
      <c r="C12" s="18">
        <f>WEEKDAY(Table3[[#This Row],[Fecha]])</f>
        <v>3</v>
      </c>
      <c r="D12" s="8">
        <v>4226</v>
      </c>
      <c r="E12" s="8">
        <v>3692</v>
      </c>
      <c r="F12" s="8">
        <v>533</v>
      </c>
      <c r="G12" s="8">
        <v>0</v>
      </c>
      <c r="H12" s="8">
        <v>2411</v>
      </c>
      <c r="I12">
        <v>46</v>
      </c>
    </row>
    <row r="13" spans="1:15" outlineLevel="1" x14ac:dyDescent="0.2">
      <c r="A13" s="4">
        <v>44573</v>
      </c>
      <c r="B13" s="18">
        <f t="shared" si="0"/>
        <v>1</v>
      </c>
      <c r="C13" s="18">
        <f>WEEKDAY(Table3[[#This Row],[Fecha]])</f>
        <v>4</v>
      </c>
      <c r="D13" s="8">
        <v>4172</v>
      </c>
      <c r="E13" s="8">
        <v>4172</v>
      </c>
      <c r="F13" s="8">
        <v>0</v>
      </c>
      <c r="G13" s="8">
        <v>0</v>
      </c>
      <c r="H13" s="8">
        <v>2291</v>
      </c>
      <c r="I13">
        <v>48</v>
      </c>
    </row>
    <row r="14" spans="1:15" outlineLevel="1" x14ac:dyDescent="0.2">
      <c r="A14" s="4">
        <v>44574</v>
      </c>
      <c r="B14" s="18">
        <f t="shared" si="0"/>
        <v>1</v>
      </c>
      <c r="C14" s="18">
        <f>WEEKDAY(Table3[[#This Row],[Fecha]])</f>
        <v>5</v>
      </c>
      <c r="D14" s="8">
        <v>3580</v>
      </c>
      <c r="E14" s="8">
        <v>3217</v>
      </c>
      <c r="F14" s="8">
        <v>363</v>
      </c>
      <c r="G14" s="8">
        <v>0</v>
      </c>
      <c r="H14" s="8">
        <v>2032</v>
      </c>
      <c r="I14">
        <v>39</v>
      </c>
      <c r="M14" t="s">
        <v>97</v>
      </c>
    </row>
    <row r="15" spans="1:15" outlineLevel="1" x14ac:dyDescent="0.2">
      <c r="A15" s="4">
        <v>44575</v>
      </c>
      <c r="B15" s="18">
        <f t="shared" si="0"/>
        <v>1</v>
      </c>
      <c r="C15" s="18">
        <f>WEEKDAY(Table3[[#This Row],[Fecha]])</f>
        <v>6</v>
      </c>
      <c r="D15" s="8">
        <v>3503</v>
      </c>
      <c r="E15" s="8">
        <v>2831</v>
      </c>
      <c r="F15" s="8">
        <v>671</v>
      </c>
      <c r="G15" s="8">
        <v>0</v>
      </c>
      <c r="H15" s="8">
        <v>1996</v>
      </c>
      <c r="I15">
        <v>33</v>
      </c>
      <c r="M15" t="s">
        <v>98</v>
      </c>
    </row>
    <row r="16" spans="1:15" outlineLevel="1" x14ac:dyDescent="0.2">
      <c r="A16" s="4">
        <v>44576</v>
      </c>
      <c r="B16" s="18">
        <f t="shared" si="0"/>
        <v>1</v>
      </c>
      <c r="C16" s="18">
        <f>WEEKDAY(Table3[[#This Row],[Fecha]])</f>
        <v>7</v>
      </c>
      <c r="D16" s="8">
        <v>6727</v>
      </c>
      <c r="E16" s="8">
        <v>5752</v>
      </c>
      <c r="F16" s="8">
        <v>975</v>
      </c>
      <c r="G16" s="8">
        <v>0</v>
      </c>
      <c r="H16" s="8">
        <v>3750</v>
      </c>
      <c r="I16">
        <v>48</v>
      </c>
      <c r="M16" t="s">
        <v>99</v>
      </c>
    </row>
    <row r="17" spans="1:13" outlineLevel="1" x14ac:dyDescent="0.2">
      <c r="A17" s="4">
        <v>44577</v>
      </c>
      <c r="B17" s="18">
        <f t="shared" si="0"/>
        <v>1</v>
      </c>
      <c r="C17" s="18">
        <f>WEEKDAY(Table3[[#This Row],[Fecha]])</f>
        <v>1</v>
      </c>
      <c r="D17" s="8">
        <v>3620</v>
      </c>
      <c r="E17" s="8">
        <v>3216</v>
      </c>
      <c r="F17" s="8">
        <v>403</v>
      </c>
      <c r="G17" s="8">
        <v>0</v>
      </c>
      <c r="H17" s="8">
        <v>2127</v>
      </c>
      <c r="I17">
        <v>28</v>
      </c>
      <c r="M17" t="s">
        <v>100</v>
      </c>
    </row>
    <row r="18" spans="1:13" outlineLevel="1" x14ac:dyDescent="0.2">
      <c r="A18" s="4">
        <v>44578</v>
      </c>
      <c r="B18" s="18">
        <f t="shared" si="0"/>
        <v>1</v>
      </c>
      <c r="C18" s="18">
        <f>WEEKDAY(Table3[[#This Row],[Fecha]])</f>
        <v>2</v>
      </c>
      <c r="D18" s="8">
        <v>3178</v>
      </c>
      <c r="E18" s="8">
        <v>3154</v>
      </c>
      <c r="F18" s="8">
        <v>24</v>
      </c>
      <c r="G18" s="8">
        <v>0</v>
      </c>
      <c r="H18" s="8">
        <v>1826</v>
      </c>
      <c r="I18">
        <v>34</v>
      </c>
      <c r="M18" t="s">
        <v>73</v>
      </c>
    </row>
    <row r="19" spans="1:13" outlineLevel="1" x14ac:dyDescent="0.2">
      <c r="A19" s="4">
        <v>44579</v>
      </c>
      <c r="B19" s="18">
        <f t="shared" si="0"/>
        <v>1</v>
      </c>
      <c r="C19" s="18">
        <f>WEEKDAY(Table3[[#This Row],[Fecha]])</f>
        <v>3</v>
      </c>
      <c r="D19" s="8">
        <v>3765</v>
      </c>
      <c r="E19" s="8">
        <v>3388</v>
      </c>
      <c r="F19" s="8">
        <v>377</v>
      </c>
      <c r="G19" s="8">
        <v>0</v>
      </c>
      <c r="H19" s="8">
        <v>2082</v>
      </c>
      <c r="I19">
        <v>40</v>
      </c>
      <c r="L19" t="s">
        <v>90</v>
      </c>
      <c r="M19" t="s">
        <v>101</v>
      </c>
    </row>
    <row r="20" spans="1:13" outlineLevel="1" x14ac:dyDescent="0.2">
      <c r="A20" s="4">
        <v>44580</v>
      </c>
      <c r="B20" s="18">
        <f t="shared" si="0"/>
        <v>1</v>
      </c>
      <c r="C20" s="18">
        <f>WEEKDAY(Table3[[#This Row],[Fecha]])</f>
        <v>4</v>
      </c>
      <c r="D20" s="8">
        <v>3966</v>
      </c>
      <c r="E20" s="8">
        <v>3605</v>
      </c>
      <c r="F20" s="8">
        <v>361</v>
      </c>
      <c r="G20" s="8">
        <v>0</v>
      </c>
      <c r="H20" s="8">
        <v>2216</v>
      </c>
      <c r="I20">
        <v>53</v>
      </c>
      <c r="L20" t="s">
        <v>91</v>
      </c>
      <c r="M20" t="s">
        <v>102</v>
      </c>
    </row>
    <row r="21" spans="1:13" outlineLevel="1" x14ac:dyDescent="0.2">
      <c r="A21" s="4">
        <v>44581</v>
      </c>
      <c r="B21" s="18">
        <f t="shared" si="0"/>
        <v>1</v>
      </c>
      <c r="C21" s="18">
        <f>WEEKDAY(Table3[[#This Row],[Fecha]])</f>
        <v>5</v>
      </c>
      <c r="D21" s="8">
        <v>3706</v>
      </c>
      <c r="E21" s="8">
        <v>3706</v>
      </c>
      <c r="F21" s="8">
        <v>0</v>
      </c>
      <c r="G21" s="8">
        <v>0</v>
      </c>
      <c r="H21" s="8">
        <v>2076</v>
      </c>
      <c r="I21">
        <v>42</v>
      </c>
      <c r="L21" t="s">
        <v>92</v>
      </c>
      <c r="M21" t="s">
        <v>103</v>
      </c>
    </row>
    <row r="22" spans="1:13" outlineLevel="1" x14ac:dyDescent="0.2">
      <c r="A22" s="4">
        <v>44582</v>
      </c>
      <c r="B22" s="18">
        <f t="shared" si="0"/>
        <v>1</v>
      </c>
      <c r="C22" s="18">
        <f>WEEKDAY(Table3[[#This Row],[Fecha]])</f>
        <v>6</v>
      </c>
      <c r="D22" s="8">
        <v>2753</v>
      </c>
      <c r="E22" s="8">
        <v>2753</v>
      </c>
      <c r="F22" s="8">
        <v>0</v>
      </c>
      <c r="G22" s="8">
        <v>0</v>
      </c>
      <c r="H22" s="8">
        <v>1611</v>
      </c>
      <c r="I22">
        <v>35</v>
      </c>
      <c r="L22" t="s">
        <v>93</v>
      </c>
      <c r="M22" t="s">
        <v>104</v>
      </c>
    </row>
    <row r="23" spans="1:13" outlineLevel="1" x14ac:dyDescent="0.2">
      <c r="A23" s="4">
        <v>44583</v>
      </c>
      <c r="B23" s="18">
        <f t="shared" si="0"/>
        <v>1</v>
      </c>
      <c r="C23" s="18">
        <f>WEEKDAY(Table3[[#This Row],[Fecha]])</f>
        <v>7</v>
      </c>
      <c r="D23" s="8">
        <v>6177</v>
      </c>
      <c r="E23" s="8">
        <v>4991</v>
      </c>
      <c r="F23" s="8">
        <v>1185</v>
      </c>
      <c r="G23" s="8">
        <v>0</v>
      </c>
      <c r="H23" s="8">
        <v>3505</v>
      </c>
      <c r="I23">
        <v>51</v>
      </c>
      <c r="L23" t="s">
        <v>94</v>
      </c>
      <c r="M23" t="s">
        <v>105</v>
      </c>
    </row>
    <row r="24" spans="1:13" outlineLevel="1" x14ac:dyDescent="0.2">
      <c r="A24" s="4">
        <v>44584</v>
      </c>
      <c r="B24" s="18">
        <f t="shared" si="0"/>
        <v>1</v>
      </c>
      <c r="C24" s="18">
        <f>WEEKDAY(Table3[[#This Row],[Fecha]])</f>
        <v>1</v>
      </c>
      <c r="D24" s="8">
        <v>2919</v>
      </c>
      <c r="E24" s="8">
        <v>2833</v>
      </c>
      <c r="F24" s="8">
        <v>85</v>
      </c>
      <c r="G24" s="8">
        <v>0</v>
      </c>
      <c r="H24" s="8">
        <v>1654</v>
      </c>
      <c r="I24">
        <v>26</v>
      </c>
      <c r="L24" t="s">
        <v>95</v>
      </c>
      <c r="M24" t="s">
        <v>106</v>
      </c>
    </row>
    <row r="25" spans="1:13" outlineLevel="1" x14ac:dyDescent="0.2">
      <c r="A25" s="4">
        <v>44585</v>
      </c>
      <c r="B25" s="18">
        <f t="shared" si="0"/>
        <v>1</v>
      </c>
      <c r="C25" s="18">
        <f>WEEKDAY(Table3[[#This Row],[Fecha]])</f>
        <v>2</v>
      </c>
      <c r="D25" s="8">
        <v>3034</v>
      </c>
      <c r="E25" s="8">
        <v>2721</v>
      </c>
      <c r="F25" s="8">
        <v>313</v>
      </c>
      <c r="G25" s="8">
        <v>0</v>
      </c>
      <c r="H25" s="8">
        <v>1758</v>
      </c>
      <c r="I25">
        <v>31</v>
      </c>
      <c r="L25" t="s">
        <v>96</v>
      </c>
      <c r="M25" t="s">
        <v>107</v>
      </c>
    </row>
    <row r="26" spans="1:13" outlineLevel="1" x14ac:dyDescent="0.2">
      <c r="A26" s="4">
        <v>44586</v>
      </c>
      <c r="B26" s="18">
        <f t="shared" si="0"/>
        <v>1</v>
      </c>
      <c r="C26" s="18">
        <f>WEEKDAY(Table3[[#This Row],[Fecha]])</f>
        <v>3</v>
      </c>
      <c r="D26" s="8">
        <v>2491</v>
      </c>
      <c r="E26" s="8">
        <v>2365</v>
      </c>
      <c r="F26" s="8">
        <v>125</v>
      </c>
      <c r="G26" s="8">
        <v>0</v>
      </c>
      <c r="H26" s="8">
        <v>1430</v>
      </c>
      <c r="I26">
        <v>34</v>
      </c>
    </row>
    <row r="27" spans="1:13" outlineLevel="1" x14ac:dyDescent="0.2">
      <c r="A27" s="4">
        <v>44587</v>
      </c>
      <c r="B27" s="18">
        <f t="shared" si="0"/>
        <v>1</v>
      </c>
      <c r="C27" s="18">
        <f>WEEKDAY(Table3[[#This Row],[Fecha]])</f>
        <v>4</v>
      </c>
      <c r="D27" s="8">
        <v>1881</v>
      </c>
      <c r="E27" s="8">
        <v>1714</v>
      </c>
      <c r="F27" s="8">
        <v>167</v>
      </c>
      <c r="G27" s="8">
        <v>0</v>
      </c>
      <c r="H27" s="8">
        <v>1141</v>
      </c>
      <c r="I27">
        <v>24</v>
      </c>
    </row>
    <row r="28" spans="1:13" outlineLevel="1" x14ac:dyDescent="0.2">
      <c r="A28" s="4">
        <v>44588</v>
      </c>
      <c r="B28" s="18">
        <f t="shared" si="0"/>
        <v>1</v>
      </c>
      <c r="C28" s="18">
        <f>WEEKDAY(Table3[[#This Row],[Fecha]])</f>
        <v>5</v>
      </c>
      <c r="D28" s="8">
        <v>2533</v>
      </c>
      <c r="E28" s="8">
        <v>1714</v>
      </c>
      <c r="F28" s="8">
        <v>818</v>
      </c>
      <c r="G28" s="8">
        <v>0</v>
      </c>
      <c r="H28" s="8">
        <v>1442</v>
      </c>
      <c r="I28">
        <v>34</v>
      </c>
    </row>
    <row r="29" spans="1:13" outlineLevel="1" x14ac:dyDescent="0.2">
      <c r="A29" s="4">
        <v>44589</v>
      </c>
      <c r="B29" s="18">
        <f t="shared" si="0"/>
        <v>1</v>
      </c>
      <c r="C29" s="18">
        <f>WEEKDAY(Table3[[#This Row],[Fecha]])</f>
        <v>6</v>
      </c>
      <c r="D29" s="8">
        <v>4445</v>
      </c>
      <c r="E29" s="8">
        <v>4286</v>
      </c>
      <c r="F29" s="8">
        <v>159</v>
      </c>
      <c r="G29" s="8">
        <v>0</v>
      </c>
      <c r="H29" s="8">
        <v>2488</v>
      </c>
      <c r="I29">
        <v>45</v>
      </c>
    </row>
    <row r="30" spans="1:13" outlineLevel="1" x14ac:dyDescent="0.2">
      <c r="A30" s="4">
        <v>44590</v>
      </c>
      <c r="B30" s="18">
        <f t="shared" si="0"/>
        <v>1</v>
      </c>
      <c r="C30" s="18">
        <f>WEEKDAY(Table3[[#This Row],[Fecha]])</f>
        <v>7</v>
      </c>
      <c r="D30" s="8">
        <v>3152</v>
      </c>
      <c r="E30" s="8">
        <v>2150</v>
      </c>
      <c r="F30" s="8">
        <v>1001</v>
      </c>
      <c r="G30" s="8">
        <v>0</v>
      </c>
      <c r="H30" s="8">
        <v>1844</v>
      </c>
      <c r="I30">
        <v>26</v>
      </c>
    </row>
    <row r="31" spans="1:13" outlineLevel="1" x14ac:dyDescent="0.2">
      <c r="A31" s="4">
        <v>44591</v>
      </c>
      <c r="B31" s="18">
        <f t="shared" si="0"/>
        <v>1</v>
      </c>
      <c r="C31" s="18">
        <f>WEEKDAY(Table3[[#This Row],[Fecha]])</f>
        <v>1</v>
      </c>
      <c r="D31" s="8">
        <v>2940</v>
      </c>
      <c r="E31" s="8">
        <v>2819</v>
      </c>
      <c r="F31" s="8">
        <v>121</v>
      </c>
      <c r="G31" s="8">
        <v>0</v>
      </c>
      <c r="H31" s="8">
        <v>1669</v>
      </c>
      <c r="I31">
        <v>29</v>
      </c>
    </row>
    <row r="32" spans="1:13" outlineLevel="1" x14ac:dyDescent="0.2">
      <c r="A32" s="4">
        <v>44592</v>
      </c>
      <c r="B32" s="18">
        <f t="shared" si="0"/>
        <v>1</v>
      </c>
      <c r="C32" s="18">
        <f>WEEKDAY(Table3[[#This Row],[Fecha]])</f>
        <v>2</v>
      </c>
      <c r="D32" s="8">
        <v>4221</v>
      </c>
      <c r="E32" s="8">
        <v>4169</v>
      </c>
      <c r="F32" s="8">
        <v>52</v>
      </c>
      <c r="G32" s="8">
        <v>0</v>
      </c>
      <c r="H32" s="8">
        <v>2391</v>
      </c>
      <c r="I32">
        <v>54</v>
      </c>
    </row>
    <row r="33" spans="1:9" outlineLevel="1" collapsed="1" x14ac:dyDescent="0.2">
      <c r="A33" s="4">
        <v>44593</v>
      </c>
      <c r="B33" s="18">
        <f t="shared" si="0"/>
        <v>2</v>
      </c>
      <c r="C33" s="18">
        <f>WEEKDAY(Table3[[#This Row],[Fecha]])</f>
        <v>3</v>
      </c>
      <c r="D33" s="8">
        <v>4717</v>
      </c>
      <c r="E33" s="8">
        <v>4360</v>
      </c>
      <c r="F33" s="8">
        <v>357</v>
      </c>
      <c r="G33" s="8">
        <v>0</v>
      </c>
      <c r="H33" s="8">
        <v>2616</v>
      </c>
      <c r="I33">
        <v>47</v>
      </c>
    </row>
    <row r="34" spans="1:9" outlineLevel="1" x14ac:dyDescent="0.2">
      <c r="A34" s="4">
        <v>44594</v>
      </c>
      <c r="B34" s="18">
        <f t="shared" si="0"/>
        <v>2</v>
      </c>
      <c r="C34" s="18">
        <f>WEEKDAY(Table3[[#This Row],[Fecha]])</f>
        <v>4</v>
      </c>
      <c r="D34" s="8">
        <v>4845</v>
      </c>
      <c r="E34" s="8">
        <v>4845</v>
      </c>
      <c r="F34" s="8">
        <v>0</v>
      </c>
      <c r="G34" s="8">
        <v>0</v>
      </c>
      <c r="H34" s="8">
        <v>2699</v>
      </c>
      <c r="I34">
        <v>42</v>
      </c>
    </row>
    <row r="35" spans="1:9" outlineLevel="1" x14ac:dyDescent="0.2">
      <c r="A35" s="4">
        <v>44595</v>
      </c>
      <c r="B35" s="18">
        <f t="shared" si="0"/>
        <v>2</v>
      </c>
      <c r="C35" s="18">
        <f>WEEKDAY(Table3[[#This Row],[Fecha]])</f>
        <v>5</v>
      </c>
      <c r="D35" s="8">
        <v>3418</v>
      </c>
      <c r="E35" s="8">
        <v>3305</v>
      </c>
      <c r="F35" s="8">
        <v>112</v>
      </c>
      <c r="G35" s="8">
        <v>0</v>
      </c>
      <c r="H35" s="8">
        <v>1962</v>
      </c>
      <c r="I35">
        <v>33</v>
      </c>
    </row>
    <row r="36" spans="1:9" outlineLevel="1" x14ac:dyDescent="0.2">
      <c r="A36" s="4">
        <v>44596</v>
      </c>
      <c r="B36" s="18">
        <f t="shared" si="0"/>
        <v>2</v>
      </c>
      <c r="C36" s="18">
        <f>WEEKDAY(Table3[[#This Row],[Fecha]])</f>
        <v>6</v>
      </c>
      <c r="D36" s="8">
        <v>3483</v>
      </c>
      <c r="E36" s="8">
        <v>2786</v>
      </c>
      <c r="F36" s="8">
        <v>697</v>
      </c>
      <c r="G36" s="8">
        <v>0</v>
      </c>
      <c r="H36" s="8">
        <v>1975</v>
      </c>
      <c r="I36">
        <v>39</v>
      </c>
    </row>
    <row r="37" spans="1:9" outlineLevel="1" x14ac:dyDescent="0.2">
      <c r="A37" s="4">
        <v>44597</v>
      </c>
      <c r="B37" s="18">
        <f t="shared" si="0"/>
        <v>2</v>
      </c>
      <c r="C37" s="18">
        <f>WEEKDAY(Table3[[#This Row],[Fecha]])</f>
        <v>7</v>
      </c>
      <c r="D37" s="8">
        <v>4180</v>
      </c>
      <c r="E37" s="8">
        <v>3462</v>
      </c>
      <c r="F37" s="8">
        <v>717</v>
      </c>
      <c r="G37" s="8">
        <v>0</v>
      </c>
      <c r="H37" s="8">
        <v>2371</v>
      </c>
      <c r="I37">
        <v>38</v>
      </c>
    </row>
    <row r="38" spans="1:9" outlineLevel="1" x14ac:dyDescent="0.2">
      <c r="A38" s="4">
        <v>44598</v>
      </c>
      <c r="B38" s="18">
        <f t="shared" si="0"/>
        <v>2</v>
      </c>
      <c r="C38" s="18">
        <f>WEEKDAY(Table3[[#This Row],[Fecha]])</f>
        <v>1</v>
      </c>
      <c r="D38" s="8">
        <v>2630</v>
      </c>
      <c r="E38" s="8">
        <v>1803</v>
      </c>
      <c r="F38" s="8">
        <v>827</v>
      </c>
      <c r="G38" s="8">
        <v>0</v>
      </c>
      <c r="H38" s="8">
        <v>1669</v>
      </c>
      <c r="I38">
        <v>22</v>
      </c>
    </row>
    <row r="39" spans="1:9" outlineLevel="1" x14ac:dyDescent="0.2">
      <c r="A39" s="4">
        <v>44599</v>
      </c>
      <c r="B39" s="18">
        <f t="shared" si="0"/>
        <v>2</v>
      </c>
      <c r="C39" s="18">
        <f>WEEKDAY(Table3[[#This Row],[Fecha]])</f>
        <v>2</v>
      </c>
      <c r="D39" s="8">
        <v>2654</v>
      </c>
      <c r="E39" s="8">
        <v>2012</v>
      </c>
      <c r="F39" s="8">
        <v>641</v>
      </c>
      <c r="G39" s="8">
        <v>0</v>
      </c>
      <c r="H39" s="8">
        <v>1524</v>
      </c>
      <c r="I39">
        <v>31</v>
      </c>
    </row>
    <row r="40" spans="1:9" outlineLevel="1" x14ac:dyDescent="0.2">
      <c r="A40" s="4">
        <v>44600</v>
      </c>
      <c r="B40" s="18">
        <f t="shared" si="0"/>
        <v>2</v>
      </c>
      <c r="C40" s="18">
        <f>WEEKDAY(Table3[[#This Row],[Fecha]])</f>
        <v>3</v>
      </c>
      <c r="D40" s="8">
        <v>1405</v>
      </c>
      <c r="E40" s="8">
        <v>1405</v>
      </c>
      <c r="F40" s="8">
        <v>0</v>
      </c>
      <c r="G40" s="8">
        <v>0</v>
      </c>
      <c r="H40" s="8">
        <v>824</v>
      </c>
      <c r="I40">
        <v>14</v>
      </c>
    </row>
    <row r="41" spans="1:9" outlineLevel="1" x14ac:dyDescent="0.2">
      <c r="A41" s="4">
        <v>44601</v>
      </c>
      <c r="B41" s="18">
        <f t="shared" si="0"/>
        <v>2</v>
      </c>
      <c r="C41" s="18">
        <f>WEEKDAY(Table3[[#This Row],[Fecha]])</f>
        <v>4</v>
      </c>
      <c r="D41" s="8">
        <v>3204</v>
      </c>
      <c r="E41" s="8">
        <v>2472</v>
      </c>
      <c r="F41" s="8">
        <v>732</v>
      </c>
      <c r="G41" s="8">
        <v>0</v>
      </c>
      <c r="H41" s="8">
        <v>1810</v>
      </c>
      <c r="I41">
        <v>27</v>
      </c>
    </row>
    <row r="42" spans="1:9" outlineLevel="1" x14ac:dyDescent="0.2">
      <c r="A42" s="4">
        <v>44602</v>
      </c>
      <c r="B42" s="18">
        <f t="shared" si="0"/>
        <v>2</v>
      </c>
      <c r="C42" s="18">
        <f>WEEKDAY(Table3[[#This Row],[Fecha]])</f>
        <v>5</v>
      </c>
      <c r="D42" s="8">
        <v>3167</v>
      </c>
      <c r="E42" s="8">
        <v>2983</v>
      </c>
      <c r="F42" s="8">
        <v>184</v>
      </c>
      <c r="G42" s="8">
        <v>0</v>
      </c>
      <c r="H42" s="8">
        <v>1773</v>
      </c>
      <c r="I42">
        <v>30</v>
      </c>
    </row>
    <row r="43" spans="1:9" outlineLevel="1" x14ac:dyDescent="0.2">
      <c r="A43" s="4">
        <v>44603</v>
      </c>
      <c r="B43" s="18">
        <f t="shared" si="0"/>
        <v>2</v>
      </c>
      <c r="C43" s="18">
        <f>WEEKDAY(Table3[[#This Row],[Fecha]])</f>
        <v>6</v>
      </c>
      <c r="D43" s="8">
        <v>2384</v>
      </c>
      <c r="E43" s="8">
        <v>2384</v>
      </c>
      <c r="F43" s="8">
        <v>0</v>
      </c>
      <c r="G43" s="8">
        <v>0</v>
      </c>
      <c r="H43" s="8">
        <v>1326</v>
      </c>
      <c r="I43">
        <v>24</v>
      </c>
    </row>
    <row r="44" spans="1:9" outlineLevel="1" x14ac:dyDescent="0.2">
      <c r="A44" s="4">
        <v>44604</v>
      </c>
      <c r="B44" s="18">
        <f t="shared" si="0"/>
        <v>2</v>
      </c>
      <c r="C44" s="18">
        <f>WEEKDAY(Table3[[#This Row],[Fecha]])</f>
        <v>7</v>
      </c>
      <c r="D44" s="8">
        <v>4758</v>
      </c>
      <c r="E44" s="8">
        <v>4515</v>
      </c>
      <c r="F44" s="8">
        <v>242</v>
      </c>
      <c r="G44" s="8">
        <v>0</v>
      </c>
      <c r="H44" s="8">
        <v>2747</v>
      </c>
      <c r="I44">
        <v>40</v>
      </c>
    </row>
    <row r="45" spans="1:9" outlineLevel="1" x14ac:dyDescent="0.2">
      <c r="A45" s="4">
        <v>44605</v>
      </c>
      <c r="B45" s="18">
        <f t="shared" si="0"/>
        <v>2</v>
      </c>
      <c r="C45" s="18">
        <f>WEEKDAY(Table3[[#This Row],[Fecha]])</f>
        <v>1</v>
      </c>
      <c r="D45" s="8">
        <v>2562</v>
      </c>
      <c r="E45" s="8">
        <v>2031</v>
      </c>
      <c r="F45" s="8">
        <v>530</v>
      </c>
      <c r="G45" s="8">
        <v>0</v>
      </c>
      <c r="H45" s="8">
        <v>1417</v>
      </c>
      <c r="I45">
        <v>22</v>
      </c>
    </row>
    <row r="46" spans="1:9" outlineLevel="1" x14ac:dyDescent="0.2">
      <c r="A46" s="4">
        <v>44606</v>
      </c>
      <c r="B46" s="18">
        <f t="shared" si="0"/>
        <v>2</v>
      </c>
      <c r="C46" s="18">
        <f>WEEKDAY(Table3[[#This Row],[Fecha]])</f>
        <v>2</v>
      </c>
      <c r="D46" s="8">
        <v>2791</v>
      </c>
      <c r="E46" s="8">
        <v>2753</v>
      </c>
      <c r="F46" s="8">
        <v>38</v>
      </c>
      <c r="G46" s="8">
        <v>0</v>
      </c>
      <c r="H46" s="8">
        <v>1599</v>
      </c>
      <c r="I46">
        <v>26</v>
      </c>
    </row>
    <row r="47" spans="1:9" outlineLevel="1" x14ac:dyDescent="0.2">
      <c r="A47" s="4">
        <v>44607</v>
      </c>
      <c r="B47" s="18">
        <f t="shared" si="0"/>
        <v>2</v>
      </c>
      <c r="C47" s="18">
        <f>WEEKDAY(Table3[[#This Row],[Fecha]])</f>
        <v>3</v>
      </c>
      <c r="D47" s="8">
        <v>6054</v>
      </c>
      <c r="E47" s="8">
        <v>5314</v>
      </c>
      <c r="F47" s="8">
        <v>739</v>
      </c>
      <c r="G47" s="8">
        <v>0</v>
      </c>
      <c r="H47" s="8">
        <v>3472</v>
      </c>
      <c r="I47">
        <v>56</v>
      </c>
    </row>
    <row r="48" spans="1:9" outlineLevel="1" x14ac:dyDescent="0.2">
      <c r="A48" s="4">
        <v>44608</v>
      </c>
      <c r="B48" s="18">
        <f t="shared" si="0"/>
        <v>2</v>
      </c>
      <c r="C48" s="18">
        <f>WEEKDAY(Table3[[#This Row],[Fecha]])</f>
        <v>4</v>
      </c>
      <c r="D48" s="8">
        <v>4255</v>
      </c>
      <c r="E48" s="8">
        <v>4245</v>
      </c>
      <c r="F48" s="8">
        <v>10</v>
      </c>
      <c r="G48" s="8">
        <v>0</v>
      </c>
      <c r="H48" s="8">
        <v>2387</v>
      </c>
      <c r="I48">
        <v>44</v>
      </c>
    </row>
    <row r="49" spans="1:9" outlineLevel="1" x14ac:dyDescent="0.2">
      <c r="A49" s="4">
        <v>44609</v>
      </c>
      <c r="B49" s="18">
        <f t="shared" si="0"/>
        <v>2</v>
      </c>
      <c r="C49" s="18">
        <f>WEEKDAY(Table3[[#This Row],[Fecha]])</f>
        <v>5</v>
      </c>
      <c r="D49" s="8">
        <v>4820</v>
      </c>
      <c r="E49" s="8">
        <v>3842</v>
      </c>
      <c r="F49" s="8">
        <v>978</v>
      </c>
      <c r="G49" s="8">
        <v>0</v>
      </c>
      <c r="H49" s="8">
        <v>2765</v>
      </c>
      <c r="I49">
        <v>55</v>
      </c>
    </row>
    <row r="50" spans="1:9" outlineLevel="1" x14ac:dyDescent="0.2">
      <c r="A50" s="4">
        <v>44610</v>
      </c>
      <c r="B50" s="18">
        <f t="shared" si="0"/>
        <v>2</v>
      </c>
      <c r="C50" s="18">
        <f>WEEKDAY(Table3[[#This Row],[Fecha]])</f>
        <v>6</v>
      </c>
      <c r="D50" s="8">
        <v>2980</v>
      </c>
      <c r="E50" s="8">
        <v>2980</v>
      </c>
      <c r="F50" s="8">
        <v>0</v>
      </c>
      <c r="G50" s="8">
        <v>0</v>
      </c>
      <c r="H50" s="8">
        <v>1736</v>
      </c>
      <c r="I50">
        <v>37</v>
      </c>
    </row>
    <row r="51" spans="1:9" outlineLevel="1" x14ac:dyDescent="0.2">
      <c r="A51" s="4">
        <v>44611</v>
      </c>
      <c r="B51" s="18">
        <f t="shared" si="0"/>
        <v>2</v>
      </c>
      <c r="C51" s="18">
        <f>WEEKDAY(Table3[[#This Row],[Fecha]])</f>
        <v>7</v>
      </c>
      <c r="D51" s="8">
        <v>5728</v>
      </c>
      <c r="E51" s="8">
        <v>4623</v>
      </c>
      <c r="F51" s="8">
        <v>1105</v>
      </c>
      <c r="G51" s="8">
        <v>0</v>
      </c>
      <c r="H51" s="8">
        <v>3210</v>
      </c>
      <c r="I51">
        <v>44</v>
      </c>
    </row>
    <row r="52" spans="1:9" outlineLevel="1" x14ac:dyDescent="0.2">
      <c r="A52" s="4">
        <v>44612</v>
      </c>
      <c r="B52" s="18">
        <f t="shared" si="0"/>
        <v>2</v>
      </c>
      <c r="C52" s="18">
        <f>WEEKDAY(Table3[[#This Row],[Fecha]])</f>
        <v>1</v>
      </c>
      <c r="D52" s="8">
        <v>5559</v>
      </c>
      <c r="E52" s="8">
        <v>2744</v>
      </c>
      <c r="F52" s="8">
        <v>2815</v>
      </c>
      <c r="G52" s="8">
        <v>0</v>
      </c>
      <c r="H52" s="8">
        <v>1440</v>
      </c>
      <c r="I52">
        <v>33</v>
      </c>
    </row>
    <row r="53" spans="1:9" outlineLevel="1" x14ac:dyDescent="0.2">
      <c r="A53" s="4">
        <v>44613</v>
      </c>
      <c r="B53" s="18">
        <f t="shared" si="0"/>
        <v>2</v>
      </c>
      <c r="C53" s="18">
        <f>WEEKDAY(Table3[[#This Row],[Fecha]])</f>
        <v>2</v>
      </c>
      <c r="D53" s="8">
        <v>4966</v>
      </c>
      <c r="E53" s="8">
        <v>4085</v>
      </c>
      <c r="F53" s="8">
        <v>880</v>
      </c>
      <c r="G53" s="8">
        <v>0</v>
      </c>
      <c r="H53" s="8">
        <v>2924</v>
      </c>
      <c r="I53">
        <v>35</v>
      </c>
    </row>
    <row r="54" spans="1:9" outlineLevel="1" x14ac:dyDescent="0.2">
      <c r="A54" s="4">
        <v>44614</v>
      </c>
      <c r="B54" s="18">
        <f t="shared" si="0"/>
        <v>2</v>
      </c>
      <c r="C54" s="18">
        <f>WEEKDAY(Table3[[#This Row],[Fecha]])</f>
        <v>3</v>
      </c>
      <c r="D54" s="8">
        <v>4648</v>
      </c>
      <c r="E54" s="8">
        <v>4545</v>
      </c>
      <c r="F54" s="8">
        <v>103</v>
      </c>
      <c r="G54" s="8">
        <v>0</v>
      </c>
      <c r="H54" s="8">
        <v>2535</v>
      </c>
      <c r="I54">
        <v>49</v>
      </c>
    </row>
    <row r="55" spans="1:9" outlineLevel="1" x14ac:dyDescent="0.2">
      <c r="A55" s="4">
        <v>44615</v>
      </c>
      <c r="B55" s="18">
        <f t="shared" si="0"/>
        <v>2</v>
      </c>
      <c r="C55" s="18">
        <f>WEEKDAY(Table3[[#This Row],[Fecha]])</f>
        <v>4</v>
      </c>
      <c r="D55" s="8">
        <v>3440</v>
      </c>
      <c r="E55" s="8">
        <v>2997</v>
      </c>
      <c r="F55" s="8">
        <v>443</v>
      </c>
      <c r="G55" s="8">
        <v>0</v>
      </c>
      <c r="H55" s="8">
        <v>1976</v>
      </c>
      <c r="I55">
        <v>43</v>
      </c>
    </row>
    <row r="56" spans="1:9" outlineLevel="1" x14ac:dyDescent="0.2">
      <c r="A56" s="4">
        <v>44616</v>
      </c>
      <c r="B56" s="18">
        <f t="shared" si="0"/>
        <v>2</v>
      </c>
      <c r="C56" s="18">
        <f>WEEKDAY(Table3[[#This Row],[Fecha]])</f>
        <v>5</v>
      </c>
      <c r="D56" s="8">
        <v>4088</v>
      </c>
      <c r="E56" s="8">
        <v>3492</v>
      </c>
      <c r="F56" s="8">
        <v>595</v>
      </c>
      <c r="G56" s="8">
        <v>0</v>
      </c>
      <c r="H56" s="8">
        <v>2317</v>
      </c>
      <c r="I56">
        <v>40</v>
      </c>
    </row>
    <row r="57" spans="1:9" outlineLevel="1" x14ac:dyDescent="0.2">
      <c r="A57" s="4">
        <v>44617</v>
      </c>
      <c r="B57" s="18">
        <f t="shared" si="0"/>
        <v>2</v>
      </c>
      <c r="C57" s="18">
        <f>WEEKDAY(Table3[[#This Row],[Fecha]])</f>
        <v>6</v>
      </c>
      <c r="D57" s="8">
        <v>2918</v>
      </c>
      <c r="E57" s="8">
        <v>2489</v>
      </c>
      <c r="F57" s="8">
        <v>428</v>
      </c>
      <c r="G57" s="8">
        <v>0</v>
      </c>
      <c r="H57" s="8">
        <v>1668</v>
      </c>
      <c r="I57">
        <v>34</v>
      </c>
    </row>
    <row r="58" spans="1:9" outlineLevel="1" x14ac:dyDescent="0.2">
      <c r="A58" s="4">
        <v>44618</v>
      </c>
      <c r="B58" s="18">
        <f t="shared" si="0"/>
        <v>2</v>
      </c>
      <c r="C58" s="18">
        <f>WEEKDAY(Table3[[#This Row],[Fecha]])</f>
        <v>7</v>
      </c>
      <c r="D58" s="8">
        <v>7506</v>
      </c>
      <c r="E58" s="8">
        <v>4240</v>
      </c>
      <c r="F58" s="8">
        <v>3265</v>
      </c>
      <c r="G58" s="8">
        <v>0</v>
      </c>
      <c r="H58" s="8">
        <v>4222</v>
      </c>
      <c r="I58">
        <v>49</v>
      </c>
    </row>
    <row r="59" spans="1:9" outlineLevel="1" x14ac:dyDescent="0.2">
      <c r="A59" s="4">
        <v>44619</v>
      </c>
      <c r="B59" s="18">
        <f t="shared" si="0"/>
        <v>2</v>
      </c>
      <c r="C59" s="18">
        <f>WEEKDAY(Table3[[#This Row],[Fecha]])</f>
        <v>1</v>
      </c>
      <c r="D59" s="8">
        <v>3184</v>
      </c>
      <c r="E59" s="8">
        <v>2716</v>
      </c>
      <c r="F59" s="8">
        <v>468</v>
      </c>
      <c r="G59" s="8">
        <v>0</v>
      </c>
      <c r="H59" s="8">
        <v>3015</v>
      </c>
      <c r="I59">
        <v>31</v>
      </c>
    </row>
    <row r="60" spans="1:9" outlineLevel="1" x14ac:dyDescent="0.2">
      <c r="A60" s="4">
        <v>44620</v>
      </c>
      <c r="B60" s="18">
        <f t="shared" si="0"/>
        <v>2</v>
      </c>
      <c r="C60" s="18">
        <f>WEEKDAY(Table3[[#This Row],[Fecha]])</f>
        <v>2</v>
      </c>
      <c r="D60" s="8">
        <v>4329</v>
      </c>
      <c r="E60" s="8">
        <v>3982</v>
      </c>
      <c r="F60" s="8">
        <v>346</v>
      </c>
      <c r="G60" s="8">
        <v>0</v>
      </c>
      <c r="H60" s="8">
        <v>0</v>
      </c>
      <c r="I60">
        <v>40</v>
      </c>
    </row>
    <row r="61" spans="1:9" x14ac:dyDescent="0.2">
      <c r="A61" s="4">
        <v>44621</v>
      </c>
      <c r="B61" s="18">
        <f t="shared" si="0"/>
        <v>3</v>
      </c>
      <c r="C61" s="18">
        <f>WEEKDAY(Table3[[#This Row],[Fecha]])</f>
        <v>3</v>
      </c>
      <c r="D61" s="8">
        <v>6669</v>
      </c>
      <c r="E61" s="8">
        <v>5792</v>
      </c>
      <c r="F61" s="8">
        <v>877</v>
      </c>
      <c r="G61" s="8">
        <v>0</v>
      </c>
      <c r="H61" s="8">
        <v>0</v>
      </c>
      <c r="I61">
        <v>60</v>
      </c>
    </row>
    <row r="62" spans="1:9" x14ac:dyDescent="0.2">
      <c r="A62" s="4">
        <v>44622</v>
      </c>
      <c r="B62" s="18">
        <f t="shared" si="0"/>
        <v>3</v>
      </c>
      <c r="C62" s="18">
        <f>WEEKDAY(Table3[[#This Row],[Fecha]])</f>
        <v>4</v>
      </c>
      <c r="D62" s="8">
        <v>2966</v>
      </c>
      <c r="E62" s="8">
        <v>2898</v>
      </c>
      <c r="F62" s="8">
        <v>68</v>
      </c>
      <c r="G62" s="8">
        <v>0</v>
      </c>
      <c r="H62" s="8">
        <v>0</v>
      </c>
      <c r="I62">
        <v>29</v>
      </c>
    </row>
    <row r="63" spans="1:9" x14ac:dyDescent="0.2">
      <c r="A63" s="4">
        <v>44623</v>
      </c>
      <c r="B63" s="18">
        <f t="shared" si="0"/>
        <v>3</v>
      </c>
      <c r="C63" s="18">
        <f>WEEKDAY(Table3[[#This Row],[Fecha]])</f>
        <v>5</v>
      </c>
      <c r="D63" s="8">
        <v>6080</v>
      </c>
      <c r="E63" s="8">
        <v>4636</v>
      </c>
      <c r="F63" s="8">
        <v>1444</v>
      </c>
      <c r="G63" s="8">
        <v>0</v>
      </c>
      <c r="H63" s="8">
        <v>0</v>
      </c>
      <c r="I63">
        <v>50</v>
      </c>
    </row>
    <row r="64" spans="1:9" x14ac:dyDescent="0.2">
      <c r="A64" s="4">
        <v>44624</v>
      </c>
      <c r="B64" s="18">
        <f t="shared" si="0"/>
        <v>3</v>
      </c>
      <c r="C64" s="18">
        <f>WEEKDAY(Table3[[#This Row],[Fecha]])</f>
        <v>6</v>
      </c>
      <c r="D64" s="8">
        <v>3690</v>
      </c>
      <c r="E64" s="8">
        <v>3490</v>
      </c>
      <c r="F64" s="8">
        <v>200</v>
      </c>
      <c r="G64" s="8">
        <v>0</v>
      </c>
      <c r="H64" s="8">
        <v>0</v>
      </c>
      <c r="I64">
        <v>38</v>
      </c>
    </row>
    <row r="65" spans="1:9" x14ac:dyDescent="0.2">
      <c r="A65" s="4">
        <v>44625</v>
      </c>
      <c r="B65" s="18">
        <f t="shared" si="0"/>
        <v>3</v>
      </c>
      <c r="C65" s="18">
        <f>WEEKDAY(Table3[[#This Row],[Fecha]])</f>
        <v>7</v>
      </c>
      <c r="D65" s="8">
        <v>5746</v>
      </c>
      <c r="E65" s="8">
        <v>4348</v>
      </c>
      <c r="F65" s="8">
        <v>1397</v>
      </c>
      <c r="G65" s="8">
        <v>0</v>
      </c>
      <c r="H65" s="8">
        <v>0</v>
      </c>
      <c r="I65">
        <v>48</v>
      </c>
    </row>
    <row r="66" spans="1:9" x14ac:dyDescent="0.2">
      <c r="A66" s="4">
        <v>44626</v>
      </c>
      <c r="B66" s="18">
        <f t="shared" si="0"/>
        <v>3</v>
      </c>
      <c r="C66" s="18">
        <f>WEEKDAY(Table3[[#This Row],[Fecha]])</f>
        <v>1</v>
      </c>
      <c r="D66" s="8">
        <v>3095</v>
      </c>
      <c r="E66" s="8">
        <v>2103</v>
      </c>
      <c r="F66" s="8">
        <v>992</v>
      </c>
      <c r="G66" s="8">
        <v>0</v>
      </c>
      <c r="H66" s="8">
        <v>1751</v>
      </c>
      <c r="I66">
        <v>28</v>
      </c>
    </row>
    <row r="67" spans="1:9" x14ac:dyDescent="0.2">
      <c r="A67" s="4">
        <v>44627</v>
      </c>
      <c r="B67" s="18">
        <f t="shared" ref="B67:B130" si="1">MONTH(A67)</f>
        <v>3</v>
      </c>
      <c r="C67" s="18">
        <f>WEEKDAY(Table3[[#This Row],[Fecha]])</f>
        <v>2</v>
      </c>
      <c r="D67" s="8">
        <v>3740</v>
      </c>
      <c r="E67" s="8">
        <v>3377</v>
      </c>
      <c r="F67" s="8">
        <v>363</v>
      </c>
      <c r="G67" s="8">
        <v>0</v>
      </c>
      <c r="H67" s="8">
        <v>2132</v>
      </c>
      <c r="I67">
        <v>40</v>
      </c>
    </row>
    <row r="68" spans="1:9" x14ac:dyDescent="0.2">
      <c r="A68" s="4">
        <v>44628</v>
      </c>
      <c r="B68" s="18">
        <f t="shared" si="1"/>
        <v>3</v>
      </c>
      <c r="C68" s="18">
        <f>WEEKDAY(Table3[[#This Row],[Fecha]])</f>
        <v>3</v>
      </c>
      <c r="D68" s="8">
        <v>5725</v>
      </c>
      <c r="E68" s="8">
        <v>4397</v>
      </c>
      <c r="F68" s="8">
        <v>1328</v>
      </c>
      <c r="G68" s="8">
        <v>0</v>
      </c>
      <c r="H68" s="8">
        <v>3161</v>
      </c>
      <c r="I68">
        <v>40</v>
      </c>
    </row>
    <row r="69" spans="1:9" x14ac:dyDescent="0.2">
      <c r="A69" s="4">
        <v>44629</v>
      </c>
      <c r="B69" s="18">
        <f t="shared" si="1"/>
        <v>3</v>
      </c>
      <c r="C69" s="18">
        <f>WEEKDAY(Table3[[#This Row],[Fecha]])</f>
        <v>4</v>
      </c>
      <c r="D69" s="8">
        <v>2361</v>
      </c>
      <c r="E69" s="8">
        <v>2361</v>
      </c>
      <c r="F69" s="8">
        <v>0</v>
      </c>
      <c r="G69" s="8">
        <v>0</v>
      </c>
      <c r="H69" s="8">
        <v>1436</v>
      </c>
      <c r="I69">
        <v>29</v>
      </c>
    </row>
    <row r="70" spans="1:9" x14ac:dyDescent="0.2">
      <c r="A70" s="4">
        <v>44630</v>
      </c>
      <c r="B70" s="18">
        <f t="shared" si="1"/>
        <v>3</v>
      </c>
      <c r="C70" s="18">
        <f>WEEKDAY(Table3[[#This Row],[Fecha]])</f>
        <v>5</v>
      </c>
      <c r="D70" s="8">
        <v>3606</v>
      </c>
      <c r="E70" s="8">
        <v>3297</v>
      </c>
      <c r="F70" s="8">
        <v>309</v>
      </c>
      <c r="G70" s="8">
        <v>0</v>
      </c>
      <c r="H70" s="8">
        <v>2165</v>
      </c>
      <c r="I70">
        <v>44</v>
      </c>
    </row>
    <row r="71" spans="1:9" x14ac:dyDescent="0.2">
      <c r="A71" s="4">
        <v>44631</v>
      </c>
      <c r="B71" s="18">
        <f t="shared" si="1"/>
        <v>3</v>
      </c>
      <c r="C71" s="18">
        <f>WEEKDAY(Table3[[#This Row],[Fecha]])</f>
        <v>6</v>
      </c>
      <c r="D71" s="8">
        <v>4566</v>
      </c>
      <c r="E71" s="8">
        <v>3666</v>
      </c>
      <c r="F71" s="8">
        <v>725</v>
      </c>
      <c r="G71" s="8">
        <v>175</v>
      </c>
      <c r="H71" s="8">
        <v>2708</v>
      </c>
      <c r="I71">
        <v>41</v>
      </c>
    </row>
    <row r="72" spans="1:9" x14ac:dyDescent="0.2">
      <c r="A72" s="4">
        <v>44632</v>
      </c>
      <c r="B72" s="18">
        <f t="shared" si="1"/>
        <v>3</v>
      </c>
      <c r="C72" s="18">
        <f>WEEKDAY(Table3[[#This Row],[Fecha]])</f>
        <v>7</v>
      </c>
      <c r="D72" s="8">
        <v>2883</v>
      </c>
      <c r="E72" s="8">
        <v>2424</v>
      </c>
      <c r="F72" s="8">
        <v>458</v>
      </c>
      <c r="G72" s="8">
        <v>0</v>
      </c>
      <c r="H72" s="8">
        <v>1764</v>
      </c>
      <c r="I72">
        <v>28</v>
      </c>
    </row>
    <row r="73" spans="1:9" x14ac:dyDescent="0.2">
      <c r="A73" s="4">
        <v>44633</v>
      </c>
      <c r="B73" s="18">
        <f t="shared" si="1"/>
        <v>3</v>
      </c>
      <c r="C73" s="18">
        <f>WEEKDAY(Table3[[#This Row],[Fecha]])</f>
        <v>1</v>
      </c>
      <c r="D73" s="8">
        <v>1853</v>
      </c>
      <c r="E73" s="8">
        <v>1323</v>
      </c>
      <c r="F73" s="8">
        <v>530</v>
      </c>
      <c r="G73" s="8">
        <v>0</v>
      </c>
      <c r="H73" s="8">
        <v>1137</v>
      </c>
      <c r="I73">
        <v>17</v>
      </c>
    </row>
    <row r="74" spans="1:9" x14ac:dyDescent="0.2">
      <c r="A74" s="4">
        <v>44634</v>
      </c>
      <c r="B74" s="18">
        <f t="shared" si="1"/>
        <v>3</v>
      </c>
      <c r="C74" s="18">
        <f>WEEKDAY(Table3[[#This Row],[Fecha]])</f>
        <v>2</v>
      </c>
      <c r="D74" s="8">
        <v>5483</v>
      </c>
      <c r="E74" s="8">
        <v>3538</v>
      </c>
      <c r="F74" s="8">
        <v>1945</v>
      </c>
      <c r="G74" s="8">
        <v>0</v>
      </c>
      <c r="H74" s="8">
        <v>3209</v>
      </c>
      <c r="I74">
        <v>45</v>
      </c>
    </row>
    <row r="75" spans="1:9" x14ac:dyDescent="0.2">
      <c r="A75" s="4">
        <v>44635</v>
      </c>
      <c r="B75" s="18">
        <f t="shared" si="1"/>
        <v>3</v>
      </c>
      <c r="C75" s="18">
        <f>WEEKDAY(Table3[[#This Row],[Fecha]])</f>
        <v>3</v>
      </c>
      <c r="D75" s="8">
        <v>5135</v>
      </c>
      <c r="E75" s="8">
        <v>4967</v>
      </c>
      <c r="F75" s="8">
        <v>168</v>
      </c>
      <c r="G75" s="8">
        <v>0</v>
      </c>
      <c r="H75" s="8">
        <v>3103</v>
      </c>
      <c r="I75">
        <v>40</v>
      </c>
    </row>
    <row r="76" spans="1:9" x14ac:dyDescent="0.2">
      <c r="A76" s="4">
        <v>44636</v>
      </c>
      <c r="B76" s="18">
        <f t="shared" si="1"/>
        <v>3</v>
      </c>
      <c r="C76" s="18">
        <f>WEEKDAY(Table3[[#This Row],[Fecha]])</f>
        <v>4</v>
      </c>
      <c r="D76" s="8">
        <v>3445</v>
      </c>
      <c r="E76" s="8">
        <v>3445</v>
      </c>
      <c r="F76" s="8">
        <v>0</v>
      </c>
      <c r="G76" s="8">
        <v>0</v>
      </c>
      <c r="H76" s="8">
        <v>2116</v>
      </c>
      <c r="I76">
        <v>28</v>
      </c>
    </row>
    <row r="77" spans="1:9" x14ac:dyDescent="0.2">
      <c r="A77" s="4">
        <v>44637</v>
      </c>
      <c r="B77" s="18">
        <f t="shared" si="1"/>
        <v>3</v>
      </c>
      <c r="C77" s="18">
        <f>WEEKDAY(Table3[[#This Row],[Fecha]])</f>
        <v>5</v>
      </c>
      <c r="D77" s="8">
        <v>4681</v>
      </c>
      <c r="E77" s="8">
        <v>3801</v>
      </c>
      <c r="F77" s="8">
        <v>880</v>
      </c>
      <c r="G77" s="8">
        <v>0</v>
      </c>
      <c r="H77" s="8">
        <v>2789</v>
      </c>
      <c r="I77">
        <v>33</v>
      </c>
    </row>
    <row r="78" spans="1:9" x14ac:dyDescent="0.2">
      <c r="A78" s="4">
        <v>44638</v>
      </c>
      <c r="B78" s="18">
        <f t="shared" si="1"/>
        <v>3</v>
      </c>
      <c r="C78" s="18">
        <f>WEEKDAY(Table3[[#This Row],[Fecha]])</f>
        <v>6</v>
      </c>
      <c r="D78" s="8">
        <v>4252</v>
      </c>
      <c r="E78" s="8">
        <v>3042</v>
      </c>
      <c r="F78" s="8">
        <v>1209</v>
      </c>
      <c r="G78" s="8">
        <v>0</v>
      </c>
      <c r="H78" s="8">
        <v>2512</v>
      </c>
      <c r="I78">
        <v>40</v>
      </c>
    </row>
    <row r="79" spans="1:9" x14ac:dyDescent="0.2">
      <c r="A79" s="4">
        <v>44639</v>
      </c>
      <c r="B79" s="18">
        <f t="shared" si="1"/>
        <v>3</v>
      </c>
      <c r="C79" s="18">
        <f>WEEKDAY(Table3[[#This Row],[Fecha]])</f>
        <v>7</v>
      </c>
      <c r="D79" s="8">
        <v>3686</v>
      </c>
      <c r="E79" s="8">
        <v>3434</v>
      </c>
      <c r="F79" s="8">
        <v>251</v>
      </c>
      <c r="G79" s="8">
        <v>0</v>
      </c>
      <c r="H79" s="8">
        <v>2280</v>
      </c>
      <c r="I79">
        <v>38</v>
      </c>
    </row>
    <row r="80" spans="1:9" x14ac:dyDescent="0.2">
      <c r="A80" s="4">
        <v>44640</v>
      </c>
      <c r="B80" s="18">
        <f t="shared" si="1"/>
        <v>3</v>
      </c>
      <c r="C80" s="18">
        <f>WEEKDAY(Table3[[#This Row],[Fecha]])</f>
        <v>1</v>
      </c>
      <c r="D80" s="8">
        <v>3334</v>
      </c>
      <c r="E80" s="8">
        <v>2580</v>
      </c>
      <c r="F80" s="8">
        <v>753</v>
      </c>
      <c r="G80" s="8">
        <v>0</v>
      </c>
      <c r="H80" s="8">
        <v>2009</v>
      </c>
      <c r="I80">
        <v>32</v>
      </c>
    </row>
    <row r="81" spans="1:9" x14ac:dyDescent="0.2">
      <c r="A81" s="4">
        <v>44641</v>
      </c>
      <c r="B81" s="18">
        <f t="shared" si="1"/>
        <v>3</v>
      </c>
      <c r="C81" s="18">
        <f>WEEKDAY(Table3[[#This Row],[Fecha]])</f>
        <v>2</v>
      </c>
      <c r="D81" s="8">
        <v>3020</v>
      </c>
      <c r="E81" s="8">
        <v>3020</v>
      </c>
      <c r="F81" s="8">
        <v>0</v>
      </c>
      <c r="G81" s="8">
        <v>0</v>
      </c>
      <c r="H81" s="8">
        <v>1712</v>
      </c>
      <c r="I81">
        <v>31</v>
      </c>
    </row>
    <row r="82" spans="1:9" x14ac:dyDescent="0.2">
      <c r="A82" s="4">
        <v>44642</v>
      </c>
      <c r="B82" s="18">
        <f t="shared" si="1"/>
        <v>3</v>
      </c>
      <c r="C82" s="18">
        <f>WEEKDAY(Table3[[#This Row],[Fecha]])</f>
        <v>3</v>
      </c>
      <c r="D82" s="8">
        <v>1648</v>
      </c>
      <c r="E82" s="8">
        <v>1615</v>
      </c>
      <c r="F82" s="8">
        <v>32</v>
      </c>
      <c r="G82" s="8">
        <v>0</v>
      </c>
      <c r="H82" s="8">
        <v>1045</v>
      </c>
      <c r="I82">
        <v>27</v>
      </c>
    </row>
    <row r="83" spans="1:9" x14ac:dyDescent="0.2">
      <c r="A83" s="4">
        <v>44643</v>
      </c>
      <c r="B83" s="18">
        <f t="shared" si="1"/>
        <v>3</v>
      </c>
      <c r="C83" s="18">
        <f>WEEKDAY(Table3[[#This Row],[Fecha]])</f>
        <v>4</v>
      </c>
      <c r="D83" s="8">
        <v>2574</v>
      </c>
      <c r="E83" s="8">
        <v>2371</v>
      </c>
      <c r="F83" s="8">
        <v>203</v>
      </c>
      <c r="G83" s="8">
        <v>0</v>
      </c>
      <c r="H83" s="8">
        <v>1536</v>
      </c>
      <c r="I83">
        <v>27</v>
      </c>
    </row>
    <row r="84" spans="1:9" x14ac:dyDescent="0.2">
      <c r="A84" s="4">
        <v>44644</v>
      </c>
      <c r="B84" s="18">
        <f t="shared" si="1"/>
        <v>3</v>
      </c>
      <c r="C84" s="18">
        <f>WEEKDAY(Table3[[#This Row],[Fecha]])</f>
        <v>5</v>
      </c>
      <c r="D84" s="8">
        <v>2477</v>
      </c>
      <c r="E84" s="8">
        <v>2477</v>
      </c>
      <c r="F84" s="8">
        <v>0</v>
      </c>
      <c r="G84" s="8">
        <v>0</v>
      </c>
      <c r="H84" s="8">
        <v>1449</v>
      </c>
      <c r="I84">
        <v>25</v>
      </c>
    </row>
    <row r="85" spans="1:9" x14ac:dyDescent="0.2">
      <c r="A85" s="4">
        <v>44645</v>
      </c>
      <c r="B85" s="18">
        <f t="shared" si="1"/>
        <v>3</v>
      </c>
      <c r="C85" s="18">
        <f>WEEKDAY(Table3[[#This Row],[Fecha]])</f>
        <v>6</v>
      </c>
      <c r="D85" s="8">
        <v>4972</v>
      </c>
      <c r="E85" s="8">
        <v>4293</v>
      </c>
      <c r="F85" s="8">
        <v>679</v>
      </c>
      <c r="G85" s="8">
        <v>0</v>
      </c>
      <c r="H85" s="8">
        <v>3010</v>
      </c>
      <c r="I85">
        <v>46</v>
      </c>
    </row>
    <row r="86" spans="1:9" x14ac:dyDescent="0.2">
      <c r="A86" s="4">
        <v>44646</v>
      </c>
      <c r="B86" s="18">
        <f t="shared" si="1"/>
        <v>3</v>
      </c>
      <c r="C86" s="18">
        <f>WEEKDAY(Table3[[#This Row],[Fecha]])</f>
        <v>7</v>
      </c>
      <c r="D86" s="8">
        <v>5208</v>
      </c>
      <c r="E86" s="8">
        <v>4718</v>
      </c>
      <c r="F86" s="8">
        <v>490</v>
      </c>
      <c r="G86" s="8">
        <v>0</v>
      </c>
      <c r="H86" s="8">
        <v>3079</v>
      </c>
      <c r="I86">
        <v>44</v>
      </c>
    </row>
    <row r="87" spans="1:9" x14ac:dyDescent="0.2">
      <c r="A87" s="4">
        <v>44647</v>
      </c>
      <c r="B87" s="18">
        <f t="shared" si="1"/>
        <v>3</v>
      </c>
      <c r="C87" s="18">
        <f>WEEKDAY(Table3[[#This Row],[Fecha]])</f>
        <v>1</v>
      </c>
      <c r="D87" s="8">
        <v>1700</v>
      </c>
      <c r="E87" s="8">
        <v>1371</v>
      </c>
      <c r="F87" s="8">
        <v>329</v>
      </c>
      <c r="G87" s="8">
        <v>0</v>
      </c>
      <c r="H87" s="8">
        <v>996</v>
      </c>
      <c r="I87">
        <v>16</v>
      </c>
    </row>
    <row r="88" spans="1:9" x14ac:dyDescent="0.2">
      <c r="A88" s="4">
        <v>44648</v>
      </c>
      <c r="B88" s="18">
        <f t="shared" si="1"/>
        <v>3</v>
      </c>
      <c r="C88" s="18">
        <f>WEEKDAY(Table3[[#This Row],[Fecha]])</f>
        <v>2</v>
      </c>
      <c r="D88" s="8">
        <v>4589</v>
      </c>
      <c r="E88" s="8">
        <v>3800</v>
      </c>
      <c r="F88" s="8">
        <v>788</v>
      </c>
      <c r="G88" s="8">
        <v>0</v>
      </c>
      <c r="H88" s="8">
        <v>2821</v>
      </c>
      <c r="I88">
        <v>44</v>
      </c>
    </row>
    <row r="89" spans="1:9" x14ac:dyDescent="0.2">
      <c r="A89" s="4">
        <v>44649</v>
      </c>
      <c r="B89" s="18">
        <f t="shared" si="1"/>
        <v>3</v>
      </c>
      <c r="C89" s="18">
        <f>WEEKDAY(Table3[[#This Row],[Fecha]])</f>
        <v>3</v>
      </c>
      <c r="D89" s="8">
        <v>3952</v>
      </c>
      <c r="E89" s="8">
        <v>3196</v>
      </c>
      <c r="F89" s="8">
        <v>755</v>
      </c>
      <c r="G89" s="8">
        <v>0</v>
      </c>
      <c r="H89" s="8">
        <v>2391</v>
      </c>
      <c r="I89">
        <v>39</v>
      </c>
    </row>
    <row r="90" spans="1:9" x14ac:dyDescent="0.2">
      <c r="A90" s="4">
        <v>44650</v>
      </c>
      <c r="B90" s="18">
        <f t="shared" si="1"/>
        <v>3</v>
      </c>
      <c r="C90" s="18">
        <f>WEEKDAY(Table3[[#This Row],[Fecha]])</f>
        <v>4</v>
      </c>
      <c r="D90" s="8">
        <v>2922</v>
      </c>
      <c r="E90" s="8">
        <v>2621</v>
      </c>
      <c r="F90" s="8">
        <v>300</v>
      </c>
      <c r="G90" s="8">
        <v>0</v>
      </c>
      <c r="H90" s="8">
        <v>1680</v>
      </c>
      <c r="I90">
        <v>29</v>
      </c>
    </row>
    <row r="91" spans="1:9" x14ac:dyDescent="0.2">
      <c r="A91" s="4">
        <v>44651</v>
      </c>
      <c r="B91" s="18">
        <f t="shared" si="1"/>
        <v>3</v>
      </c>
      <c r="C91" s="18">
        <f>WEEKDAY(Table3[[#This Row],[Fecha]])</f>
        <v>5</v>
      </c>
      <c r="D91" s="8">
        <v>5354</v>
      </c>
      <c r="E91" s="8">
        <v>4756</v>
      </c>
      <c r="F91" s="8">
        <v>597</v>
      </c>
      <c r="G91" s="8">
        <v>0</v>
      </c>
      <c r="H91" s="8">
        <v>3130</v>
      </c>
      <c r="I91">
        <v>48</v>
      </c>
    </row>
    <row r="92" spans="1:9" x14ac:dyDescent="0.2">
      <c r="A92" s="4">
        <v>44652</v>
      </c>
      <c r="B92" s="18">
        <f t="shared" si="1"/>
        <v>4</v>
      </c>
      <c r="C92" s="18">
        <f>WEEKDAY(Table3[[#This Row],[Fecha]])</f>
        <v>6</v>
      </c>
      <c r="D92" s="8">
        <v>10255</v>
      </c>
      <c r="E92" s="8">
        <v>8344</v>
      </c>
      <c r="F92" s="8">
        <v>1910</v>
      </c>
      <c r="G92" s="8">
        <v>0</v>
      </c>
      <c r="H92" s="8">
        <v>6062</v>
      </c>
      <c r="I92">
        <v>73</v>
      </c>
    </row>
    <row r="93" spans="1:9" x14ac:dyDescent="0.2">
      <c r="A93" s="4">
        <v>44653</v>
      </c>
      <c r="B93" s="18">
        <f t="shared" si="1"/>
        <v>4</v>
      </c>
      <c r="C93" s="18">
        <f>WEEKDAY(Table3[[#This Row],[Fecha]])</f>
        <v>7</v>
      </c>
      <c r="D93" s="8">
        <v>3892</v>
      </c>
      <c r="E93" s="8">
        <v>3256</v>
      </c>
      <c r="F93" s="8">
        <v>636</v>
      </c>
      <c r="G93" s="8">
        <v>0</v>
      </c>
      <c r="H93" s="8">
        <v>2363</v>
      </c>
      <c r="I93">
        <v>31</v>
      </c>
    </row>
    <row r="94" spans="1:9" x14ac:dyDescent="0.2">
      <c r="A94" s="4">
        <v>44654</v>
      </c>
      <c r="B94" s="18">
        <f t="shared" si="1"/>
        <v>4</v>
      </c>
      <c r="C94" s="18">
        <f>WEEKDAY(Table3[[#This Row],[Fecha]])</f>
        <v>1</v>
      </c>
      <c r="D94" s="8">
        <v>1394</v>
      </c>
      <c r="E94" s="8">
        <v>1257</v>
      </c>
      <c r="F94" s="8">
        <v>136</v>
      </c>
      <c r="G94" s="8">
        <v>0</v>
      </c>
      <c r="H94" s="8">
        <v>849</v>
      </c>
      <c r="I94">
        <v>19</v>
      </c>
    </row>
    <row r="95" spans="1:9" x14ac:dyDescent="0.2">
      <c r="A95" s="4">
        <v>44655</v>
      </c>
      <c r="B95" s="18">
        <f t="shared" si="1"/>
        <v>4</v>
      </c>
      <c r="C95" s="18">
        <f>WEEKDAY(Table3[[#This Row],[Fecha]])</f>
        <v>2</v>
      </c>
      <c r="D95" s="8">
        <v>2904</v>
      </c>
      <c r="E95" s="8">
        <v>2723</v>
      </c>
      <c r="F95" s="8">
        <v>181</v>
      </c>
      <c r="G95" s="8">
        <v>0</v>
      </c>
      <c r="H95" s="8">
        <v>1778</v>
      </c>
      <c r="I95">
        <v>35</v>
      </c>
    </row>
    <row r="96" spans="1:9" x14ac:dyDescent="0.2">
      <c r="A96" s="4">
        <v>44656</v>
      </c>
      <c r="B96" s="18">
        <f t="shared" si="1"/>
        <v>4</v>
      </c>
      <c r="C96" s="18">
        <f>WEEKDAY(Table3[[#This Row],[Fecha]])</f>
        <v>3</v>
      </c>
      <c r="D96" s="8">
        <v>3574</v>
      </c>
      <c r="E96" s="8">
        <v>3106</v>
      </c>
      <c r="F96" s="8">
        <v>467</v>
      </c>
      <c r="G96" s="8">
        <v>0</v>
      </c>
      <c r="H96" s="8">
        <v>2169</v>
      </c>
      <c r="I96">
        <v>46</v>
      </c>
    </row>
    <row r="97" spans="1:9" x14ac:dyDescent="0.2">
      <c r="A97" s="4">
        <v>44657</v>
      </c>
      <c r="B97" s="18">
        <f t="shared" si="1"/>
        <v>4</v>
      </c>
      <c r="C97" s="18">
        <f>WEEKDAY(Table3[[#This Row],[Fecha]])</f>
        <v>4</v>
      </c>
      <c r="D97" s="8">
        <v>3552</v>
      </c>
      <c r="E97" s="8">
        <v>3143</v>
      </c>
      <c r="F97" s="8">
        <v>408</v>
      </c>
      <c r="G97" s="8">
        <v>0</v>
      </c>
      <c r="H97" s="8">
        <v>2140</v>
      </c>
      <c r="I97">
        <v>32</v>
      </c>
    </row>
    <row r="98" spans="1:9" x14ac:dyDescent="0.2">
      <c r="A98" s="4">
        <v>44658</v>
      </c>
      <c r="B98" s="18">
        <f t="shared" si="1"/>
        <v>4</v>
      </c>
      <c r="C98" s="18">
        <f>WEEKDAY(Table3[[#This Row],[Fecha]])</f>
        <v>5</v>
      </c>
      <c r="D98" s="8">
        <v>4385</v>
      </c>
      <c r="E98" s="8">
        <v>4385</v>
      </c>
      <c r="F98" s="8">
        <v>0</v>
      </c>
      <c r="G98" s="8">
        <v>0</v>
      </c>
      <c r="H98" s="8">
        <v>2619</v>
      </c>
      <c r="I98">
        <v>36</v>
      </c>
    </row>
    <row r="99" spans="1:9" x14ac:dyDescent="0.2">
      <c r="A99" s="4">
        <v>44659</v>
      </c>
      <c r="B99" s="18">
        <f t="shared" si="1"/>
        <v>4</v>
      </c>
      <c r="C99" s="18">
        <f>WEEKDAY(Table3[[#This Row],[Fecha]])</f>
        <v>6</v>
      </c>
      <c r="D99" s="8">
        <v>4999</v>
      </c>
      <c r="E99" s="8">
        <v>3970</v>
      </c>
      <c r="F99" s="8">
        <v>1029</v>
      </c>
      <c r="G99" s="8">
        <v>0</v>
      </c>
      <c r="H99" s="8">
        <v>2937</v>
      </c>
      <c r="I99">
        <v>39</v>
      </c>
    </row>
    <row r="100" spans="1:9" x14ac:dyDescent="0.2">
      <c r="A100" s="4">
        <v>44660</v>
      </c>
      <c r="B100" s="18">
        <f t="shared" si="1"/>
        <v>4</v>
      </c>
      <c r="C100" s="18">
        <f>WEEKDAY(Table3[[#This Row],[Fecha]])</f>
        <v>7</v>
      </c>
      <c r="D100" s="8">
        <v>4886</v>
      </c>
      <c r="E100" s="8">
        <v>3893</v>
      </c>
      <c r="F100" s="8">
        <v>992</v>
      </c>
      <c r="G100" s="8">
        <v>0</v>
      </c>
      <c r="H100" s="8">
        <v>2862</v>
      </c>
      <c r="I100">
        <v>44</v>
      </c>
    </row>
    <row r="101" spans="1:9" x14ac:dyDescent="0.2">
      <c r="A101" s="4">
        <v>44661</v>
      </c>
      <c r="B101" s="18">
        <f t="shared" si="1"/>
        <v>4</v>
      </c>
      <c r="C101" s="18">
        <f>WEEKDAY(Table3[[#This Row],[Fecha]])</f>
        <v>1</v>
      </c>
      <c r="D101" s="8">
        <v>2396</v>
      </c>
      <c r="E101" s="8">
        <v>1637</v>
      </c>
      <c r="F101" s="8">
        <v>759</v>
      </c>
      <c r="G101" s="8">
        <v>0</v>
      </c>
      <c r="H101" s="8">
        <v>1412</v>
      </c>
      <c r="I101">
        <v>21</v>
      </c>
    </row>
    <row r="102" spans="1:9" x14ac:dyDescent="0.2">
      <c r="A102" s="4">
        <v>44662</v>
      </c>
      <c r="B102" s="18">
        <f t="shared" si="1"/>
        <v>4</v>
      </c>
      <c r="C102" s="18">
        <f>WEEKDAY(Table3[[#This Row],[Fecha]])</f>
        <v>2</v>
      </c>
      <c r="D102" s="8">
        <v>3934</v>
      </c>
      <c r="E102" s="8">
        <v>3762</v>
      </c>
      <c r="F102" s="8">
        <v>171</v>
      </c>
      <c r="G102" s="8">
        <v>0</v>
      </c>
      <c r="H102" s="8">
        <v>2347</v>
      </c>
      <c r="I102">
        <v>45</v>
      </c>
    </row>
    <row r="103" spans="1:9" x14ac:dyDescent="0.2">
      <c r="A103" s="4">
        <v>44663</v>
      </c>
      <c r="B103" s="18">
        <f t="shared" si="1"/>
        <v>4</v>
      </c>
      <c r="C103" s="18">
        <f>WEEKDAY(Table3[[#This Row],[Fecha]])</f>
        <v>3</v>
      </c>
      <c r="D103" s="8">
        <v>7285</v>
      </c>
      <c r="E103" s="8">
        <v>6415</v>
      </c>
      <c r="F103" s="8">
        <v>870</v>
      </c>
      <c r="G103" s="8">
        <v>0</v>
      </c>
      <c r="H103" s="8">
        <v>4354</v>
      </c>
      <c r="I103">
        <v>61</v>
      </c>
    </row>
    <row r="104" spans="1:9" x14ac:dyDescent="0.2">
      <c r="A104" s="4">
        <v>44664</v>
      </c>
      <c r="B104" s="18">
        <f t="shared" si="1"/>
        <v>4</v>
      </c>
      <c r="C104" s="18">
        <f>WEEKDAY(Table3[[#This Row],[Fecha]])</f>
        <v>4</v>
      </c>
      <c r="D104" s="8">
        <v>7784</v>
      </c>
      <c r="E104" s="8">
        <v>7167</v>
      </c>
      <c r="F104" s="8">
        <v>616</v>
      </c>
      <c r="G104" s="8">
        <v>0</v>
      </c>
      <c r="H104" s="8">
        <v>4730</v>
      </c>
      <c r="I104">
        <v>66</v>
      </c>
    </row>
    <row r="105" spans="1:9" x14ac:dyDescent="0.2">
      <c r="A105" s="4">
        <v>44665</v>
      </c>
      <c r="B105" s="18">
        <f t="shared" si="1"/>
        <v>4</v>
      </c>
      <c r="C105" s="18">
        <f>WEEKDAY(Table3[[#This Row],[Fecha]])</f>
        <v>5</v>
      </c>
      <c r="D105" s="8">
        <v>2113</v>
      </c>
      <c r="E105" s="8">
        <v>1467</v>
      </c>
      <c r="F105" s="8">
        <v>645</v>
      </c>
      <c r="G105" s="8">
        <v>0</v>
      </c>
      <c r="H105" s="8">
        <v>1275</v>
      </c>
      <c r="I105">
        <v>22</v>
      </c>
    </row>
    <row r="106" spans="1:9" x14ac:dyDescent="0.2">
      <c r="A106" s="4">
        <v>44666</v>
      </c>
      <c r="B106" s="18">
        <f t="shared" si="1"/>
        <v>4</v>
      </c>
      <c r="C106" s="18">
        <f>WEEKDAY(Table3[[#This Row],[Fecha]])</f>
        <v>6</v>
      </c>
      <c r="D106" s="8">
        <v>2323</v>
      </c>
      <c r="E106" s="8">
        <v>2107</v>
      </c>
      <c r="F106" s="8">
        <v>215</v>
      </c>
      <c r="G106" s="8">
        <v>0</v>
      </c>
      <c r="H106" s="8">
        <v>1364</v>
      </c>
      <c r="I106">
        <v>19</v>
      </c>
    </row>
    <row r="107" spans="1:9" x14ac:dyDescent="0.2">
      <c r="A107" s="4">
        <v>44667</v>
      </c>
      <c r="B107" s="18">
        <f t="shared" si="1"/>
        <v>4</v>
      </c>
      <c r="C107" s="18">
        <f>WEEKDAY(Table3[[#This Row],[Fecha]])</f>
        <v>7</v>
      </c>
      <c r="D107" s="8">
        <v>2517</v>
      </c>
      <c r="E107" s="8">
        <v>1915</v>
      </c>
      <c r="F107" s="8">
        <v>601</v>
      </c>
      <c r="G107" s="8">
        <v>0</v>
      </c>
      <c r="H107" s="8">
        <v>1519</v>
      </c>
      <c r="I107">
        <v>30</v>
      </c>
    </row>
    <row r="108" spans="1:9" x14ac:dyDescent="0.2">
      <c r="A108" s="4">
        <v>44668</v>
      </c>
      <c r="B108" s="18">
        <f t="shared" si="1"/>
        <v>4</v>
      </c>
      <c r="C108" s="18">
        <f>WEEKDAY(Table3[[#This Row],[Fecha]])</f>
        <v>1</v>
      </c>
      <c r="D108" s="8">
        <v>3773</v>
      </c>
      <c r="E108" s="8">
        <v>3511</v>
      </c>
      <c r="F108" s="8">
        <v>262</v>
      </c>
      <c r="G108" s="8">
        <v>0</v>
      </c>
      <c r="H108" s="8">
        <v>2285</v>
      </c>
      <c r="I108">
        <v>22</v>
      </c>
    </row>
    <row r="109" spans="1:9" x14ac:dyDescent="0.2">
      <c r="A109" s="4">
        <v>44669</v>
      </c>
      <c r="B109" s="18">
        <f t="shared" si="1"/>
        <v>4</v>
      </c>
      <c r="C109" s="18">
        <f>WEEKDAY(Table3[[#This Row],[Fecha]])</f>
        <v>2</v>
      </c>
      <c r="D109" s="8">
        <v>4332</v>
      </c>
      <c r="E109" s="8">
        <v>3719</v>
      </c>
      <c r="F109" s="8">
        <v>613</v>
      </c>
      <c r="G109" s="8">
        <v>0</v>
      </c>
      <c r="H109" s="8">
        <v>2577</v>
      </c>
      <c r="I109">
        <v>47</v>
      </c>
    </row>
    <row r="110" spans="1:9" x14ac:dyDescent="0.2">
      <c r="A110" s="4">
        <v>44670</v>
      </c>
      <c r="B110" s="18">
        <f t="shared" si="1"/>
        <v>4</v>
      </c>
      <c r="C110" s="18">
        <f>WEEKDAY(Table3[[#This Row],[Fecha]])</f>
        <v>3</v>
      </c>
      <c r="D110" s="8">
        <v>4677</v>
      </c>
      <c r="E110" s="8">
        <v>4677</v>
      </c>
      <c r="F110" s="8">
        <v>0</v>
      </c>
      <c r="G110" s="8">
        <v>0</v>
      </c>
      <c r="H110" s="8">
        <v>2738</v>
      </c>
      <c r="I110">
        <v>57</v>
      </c>
    </row>
    <row r="111" spans="1:9" x14ac:dyDescent="0.2">
      <c r="A111" s="4">
        <v>44671</v>
      </c>
      <c r="B111" s="18">
        <f t="shared" si="1"/>
        <v>4</v>
      </c>
      <c r="C111" s="18">
        <f>WEEKDAY(Table3[[#This Row],[Fecha]])</f>
        <v>4</v>
      </c>
      <c r="D111" s="8">
        <v>7803</v>
      </c>
      <c r="E111" s="8">
        <v>7326</v>
      </c>
      <c r="F111" s="8">
        <v>476</v>
      </c>
      <c r="G111" s="8">
        <v>0</v>
      </c>
      <c r="H111" s="8">
        <v>4624</v>
      </c>
      <c r="I111">
        <v>44</v>
      </c>
    </row>
    <row r="112" spans="1:9" x14ac:dyDescent="0.2">
      <c r="A112" s="4">
        <v>44672</v>
      </c>
      <c r="B112" s="18">
        <f t="shared" si="1"/>
        <v>4</v>
      </c>
      <c r="C112" s="18">
        <f>WEEKDAY(Table3[[#This Row],[Fecha]])</f>
        <v>5</v>
      </c>
      <c r="D112" s="8">
        <v>4054</v>
      </c>
      <c r="E112" s="8">
        <v>3408</v>
      </c>
      <c r="F112" s="8">
        <v>646</v>
      </c>
      <c r="G112" s="8">
        <v>0</v>
      </c>
      <c r="H112" s="8">
        <v>2478</v>
      </c>
      <c r="I112">
        <v>42</v>
      </c>
    </row>
    <row r="113" spans="1:9" x14ac:dyDescent="0.2">
      <c r="A113" s="4">
        <v>44673</v>
      </c>
      <c r="B113" s="18">
        <f t="shared" si="1"/>
        <v>4</v>
      </c>
      <c r="C113" s="18">
        <f>WEEKDAY(Table3[[#This Row],[Fecha]])</f>
        <v>6</v>
      </c>
      <c r="D113" s="8">
        <v>3629</v>
      </c>
      <c r="E113" s="8">
        <v>3038</v>
      </c>
      <c r="F113" s="8">
        <v>590</v>
      </c>
      <c r="G113" s="8">
        <v>0</v>
      </c>
      <c r="H113" s="8">
        <v>2063</v>
      </c>
      <c r="I113">
        <v>32</v>
      </c>
    </row>
    <row r="114" spans="1:9" x14ac:dyDescent="0.2">
      <c r="A114" s="4">
        <v>44674</v>
      </c>
      <c r="B114" s="18">
        <f t="shared" si="1"/>
        <v>4</v>
      </c>
      <c r="C114" s="18">
        <f>WEEKDAY(Table3[[#This Row],[Fecha]])</f>
        <v>7</v>
      </c>
      <c r="D114" s="8">
        <v>2972</v>
      </c>
      <c r="E114" s="8">
        <v>2714</v>
      </c>
      <c r="F114" s="8">
        <v>258</v>
      </c>
      <c r="G114" s="8">
        <v>0</v>
      </c>
      <c r="H114" s="8">
        <v>1788</v>
      </c>
      <c r="I114">
        <v>37</v>
      </c>
    </row>
    <row r="115" spans="1:9" x14ac:dyDescent="0.2">
      <c r="A115" s="4">
        <v>44675</v>
      </c>
      <c r="B115" s="18">
        <f t="shared" si="1"/>
        <v>4</v>
      </c>
      <c r="C115" s="18">
        <f>WEEKDAY(Table3[[#This Row],[Fecha]])</f>
        <v>1</v>
      </c>
      <c r="D115" s="8">
        <v>1497</v>
      </c>
      <c r="E115" s="8">
        <v>1497</v>
      </c>
      <c r="F115" s="8">
        <v>0</v>
      </c>
      <c r="G115" s="8">
        <v>0</v>
      </c>
      <c r="H115" s="8">
        <v>882</v>
      </c>
      <c r="I115">
        <v>15</v>
      </c>
    </row>
    <row r="116" spans="1:9" x14ac:dyDescent="0.2">
      <c r="A116" s="4">
        <v>44676</v>
      </c>
      <c r="B116" s="18">
        <f t="shared" si="1"/>
        <v>4</v>
      </c>
      <c r="C116" s="18">
        <f>WEEKDAY(Table3[[#This Row],[Fecha]])</f>
        <v>2</v>
      </c>
      <c r="D116" s="8">
        <v>3894</v>
      </c>
      <c r="E116" s="8">
        <v>3577</v>
      </c>
      <c r="F116" s="8">
        <v>317</v>
      </c>
      <c r="G116" s="8">
        <v>0</v>
      </c>
      <c r="H116" s="8">
        <v>2377</v>
      </c>
      <c r="I116">
        <v>33</v>
      </c>
    </row>
    <row r="117" spans="1:9" x14ac:dyDescent="0.2">
      <c r="A117" s="4">
        <v>44677</v>
      </c>
      <c r="B117" s="18">
        <f t="shared" si="1"/>
        <v>4</v>
      </c>
      <c r="C117" s="18">
        <f>WEEKDAY(Table3[[#This Row],[Fecha]])</f>
        <v>3</v>
      </c>
      <c r="D117" s="8">
        <v>2496</v>
      </c>
      <c r="E117" s="8">
        <v>2496</v>
      </c>
      <c r="F117" s="8">
        <v>0</v>
      </c>
      <c r="G117" s="8">
        <v>0</v>
      </c>
      <c r="H117" s="8">
        <v>1464</v>
      </c>
      <c r="I117">
        <v>25</v>
      </c>
    </row>
    <row r="118" spans="1:9" x14ac:dyDescent="0.2">
      <c r="A118" s="4">
        <v>44678</v>
      </c>
      <c r="B118" s="18">
        <f t="shared" si="1"/>
        <v>4</v>
      </c>
      <c r="C118" s="18">
        <f>WEEKDAY(Table3[[#This Row],[Fecha]])</f>
        <v>4</v>
      </c>
      <c r="D118" s="8">
        <v>2155</v>
      </c>
      <c r="E118" s="8">
        <v>2126</v>
      </c>
      <c r="F118" s="8">
        <v>28</v>
      </c>
      <c r="G118" s="8">
        <v>0</v>
      </c>
      <c r="H118" s="8">
        <v>1304</v>
      </c>
      <c r="I118">
        <v>28</v>
      </c>
    </row>
    <row r="119" spans="1:9" x14ac:dyDescent="0.2">
      <c r="A119" s="4">
        <v>44679</v>
      </c>
      <c r="B119" s="18">
        <f t="shared" si="1"/>
        <v>4</v>
      </c>
      <c r="C119" s="18">
        <f>WEEKDAY(Table3[[#This Row],[Fecha]])</f>
        <v>5</v>
      </c>
      <c r="D119" s="8">
        <v>3407</v>
      </c>
      <c r="E119" s="8">
        <v>2741</v>
      </c>
      <c r="F119" s="8">
        <v>666</v>
      </c>
      <c r="G119" s="8">
        <v>0</v>
      </c>
      <c r="H119" s="8">
        <v>2015</v>
      </c>
      <c r="I119">
        <v>36</v>
      </c>
    </row>
    <row r="120" spans="1:9" x14ac:dyDescent="0.2">
      <c r="A120" s="4">
        <v>44680</v>
      </c>
      <c r="B120" s="18">
        <f t="shared" si="1"/>
        <v>4</v>
      </c>
      <c r="C120" s="18">
        <f>WEEKDAY(Table3[[#This Row],[Fecha]])</f>
        <v>6</v>
      </c>
      <c r="D120" s="8">
        <v>2724</v>
      </c>
      <c r="E120" s="8">
        <v>2616</v>
      </c>
      <c r="F120" s="8">
        <v>107</v>
      </c>
      <c r="G120" s="8">
        <v>0</v>
      </c>
      <c r="H120" s="8">
        <v>1600</v>
      </c>
      <c r="I120">
        <v>32</v>
      </c>
    </row>
    <row r="121" spans="1:9" x14ac:dyDescent="0.2">
      <c r="A121" s="4">
        <v>44681</v>
      </c>
      <c r="B121" s="18">
        <f t="shared" si="1"/>
        <v>4</v>
      </c>
      <c r="C121" s="18">
        <f>WEEKDAY(Table3[[#This Row],[Fecha]])</f>
        <v>7</v>
      </c>
      <c r="D121" s="8">
        <v>2936</v>
      </c>
      <c r="E121" s="8">
        <v>2120</v>
      </c>
      <c r="F121" s="8">
        <v>816</v>
      </c>
      <c r="G121" s="8">
        <v>0</v>
      </c>
      <c r="H121" s="8">
        <v>1733</v>
      </c>
      <c r="I121">
        <v>31</v>
      </c>
    </row>
    <row r="122" spans="1:9" x14ac:dyDescent="0.2">
      <c r="A122" s="4">
        <v>44682</v>
      </c>
      <c r="B122" s="18">
        <f t="shared" si="1"/>
        <v>5</v>
      </c>
      <c r="C122" s="18">
        <f>WEEKDAY(Table3[[#This Row],[Fecha]])</f>
        <v>1</v>
      </c>
      <c r="D122" s="8">
        <v>2299</v>
      </c>
      <c r="E122" s="8">
        <v>1844</v>
      </c>
      <c r="F122" s="8">
        <v>455</v>
      </c>
      <c r="G122" s="8">
        <v>0</v>
      </c>
      <c r="H122" s="8">
        <v>1358</v>
      </c>
      <c r="I122">
        <v>25</v>
      </c>
    </row>
    <row r="123" spans="1:9" x14ac:dyDescent="0.2">
      <c r="A123" s="4">
        <v>44683</v>
      </c>
      <c r="B123" s="18">
        <f t="shared" si="1"/>
        <v>5</v>
      </c>
      <c r="C123" s="18">
        <f>WEEKDAY(Table3[[#This Row],[Fecha]])</f>
        <v>2</v>
      </c>
      <c r="D123" s="8">
        <v>5005</v>
      </c>
      <c r="E123" s="8">
        <v>4914</v>
      </c>
      <c r="F123" s="8">
        <v>91</v>
      </c>
      <c r="G123" s="8">
        <v>0</v>
      </c>
      <c r="H123" s="8">
        <v>2991</v>
      </c>
      <c r="I123">
        <v>44</v>
      </c>
    </row>
    <row r="124" spans="1:9" x14ac:dyDescent="0.2">
      <c r="A124" s="4">
        <v>44684</v>
      </c>
      <c r="B124" s="18">
        <f t="shared" si="1"/>
        <v>5</v>
      </c>
      <c r="C124" s="18">
        <f>WEEKDAY(Table3[[#This Row],[Fecha]])</f>
        <v>3</v>
      </c>
      <c r="D124" s="8">
        <v>3559</v>
      </c>
      <c r="E124" s="8">
        <v>3026</v>
      </c>
      <c r="F124" s="8">
        <v>532</v>
      </c>
      <c r="G124" s="8">
        <v>0</v>
      </c>
      <c r="H124" s="8">
        <v>2125</v>
      </c>
      <c r="I124">
        <v>35</v>
      </c>
    </row>
    <row r="125" spans="1:9" x14ac:dyDescent="0.2">
      <c r="A125" s="4">
        <v>44685</v>
      </c>
      <c r="B125" s="18">
        <f t="shared" si="1"/>
        <v>5</v>
      </c>
      <c r="C125" s="18">
        <f>WEEKDAY(Table3[[#This Row],[Fecha]])</f>
        <v>4</v>
      </c>
      <c r="D125" s="8">
        <v>3769</v>
      </c>
      <c r="E125" s="8">
        <v>3769</v>
      </c>
      <c r="F125" s="8">
        <v>0</v>
      </c>
      <c r="G125" s="8">
        <v>0</v>
      </c>
      <c r="H125" s="8">
        <v>2195</v>
      </c>
      <c r="I125">
        <v>31</v>
      </c>
    </row>
    <row r="126" spans="1:9" x14ac:dyDescent="0.2">
      <c r="A126" s="4">
        <v>44686</v>
      </c>
      <c r="B126" s="18">
        <f t="shared" si="1"/>
        <v>5</v>
      </c>
      <c r="C126" s="18">
        <f>WEEKDAY(Table3[[#This Row],[Fecha]])</f>
        <v>5</v>
      </c>
      <c r="D126" s="8">
        <v>4005</v>
      </c>
      <c r="E126" s="8">
        <v>3073</v>
      </c>
      <c r="F126" s="8">
        <v>931</v>
      </c>
      <c r="G126" s="8">
        <v>0</v>
      </c>
      <c r="H126" s="8">
        <v>2362</v>
      </c>
      <c r="I126">
        <v>45</v>
      </c>
    </row>
    <row r="127" spans="1:9" x14ac:dyDescent="0.2">
      <c r="A127" s="4">
        <v>44687</v>
      </c>
      <c r="B127" s="18">
        <f t="shared" si="1"/>
        <v>5</v>
      </c>
      <c r="C127" s="18">
        <f>WEEKDAY(Table3[[#This Row],[Fecha]])</f>
        <v>6</v>
      </c>
      <c r="D127" s="8">
        <v>3641</v>
      </c>
      <c r="E127" s="8">
        <v>3097</v>
      </c>
      <c r="F127" s="8">
        <v>544</v>
      </c>
      <c r="G127" s="8">
        <v>0</v>
      </c>
      <c r="H127" s="8">
        <v>2215</v>
      </c>
      <c r="I127">
        <v>36</v>
      </c>
    </row>
    <row r="128" spans="1:9" x14ac:dyDescent="0.2">
      <c r="A128" s="4">
        <v>44688</v>
      </c>
      <c r="B128" s="18">
        <f t="shared" si="1"/>
        <v>5</v>
      </c>
      <c r="C128" s="18">
        <f>WEEKDAY(Table3[[#This Row],[Fecha]])</f>
        <v>7</v>
      </c>
      <c r="D128" s="8">
        <v>3771</v>
      </c>
      <c r="E128" s="8">
        <v>3606</v>
      </c>
      <c r="F128" s="8">
        <v>165</v>
      </c>
      <c r="G128" s="8">
        <v>0</v>
      </c>
      <c r="H128" s="8">
        <v>2210</v>
      </c>
      <c r="I128">
        <v>37</v>
      </c>
    </row>
    <row r="129" spans="1:9" x14ac:dyDescent="0.2">
      <c r="A129" s="4">
        <v>44689</v>
      </c>
      <c r="B129" s="18">
        <f t="shared" si="1"/>
        <v>5</v>
      </c>
      <c r="C129" s="18">
        <f>WEEKDAY(Table3[[#This Row],[Fecha]])</f>
        <v>1</v>
      </c>
      <c r="D129" s="8">
        <v>4323</v>
      </c>
      <c r="E129" s="8">
        <v>4121</v>
      </c>
      <c r="F129" s="8">
        <v>202</v>
      </c>
      <c r="G129" s="8">
        <v>0</v>
      </c>
      <c r="H129" s="8">
        <v>2500</v>
      </c>
      <c r="I129">
        <v>34</v>
      </c>
    </row>
    <row r="130" spans="1:9" x14ac:dyDescent="0.2">
      <c r="A130" s="4">
        <v>44690</v>
      </c>
      <c r="B130" s="18">
        <f t="shared" si="1"/>
        <v>5</v>
      </c>
      <c r="C130" s="18">
        <f>WEEKDAY(Table3[[#This Row],[Fecha]])</f>
        <v>2</v>
      </c>
      <c r="D130" s="8">
        <v>6576</v>
      </c>
      <c r="E130" s="8">
        <v>4606</v>
      </c>
      <c r="F130" s="8">
        <v>1970</v>
      </c>
      <c r="G130" s="8">
        <v>0</v>
      </c>
      <c r="H130" s="8">
        <v>3815</v>
      </c>
      <c r="I130">
        <v>47</v>
      </c>
    </row>
    <row r="131" spans="1:9" x14ac:dyDescent="0.2">
      <c r="A131" s="4">
        <v>44691</v>
      </c>
      <c r="B131" s="18">
        <f t="shared" ref="B131:B152" si="2">MONTH(A131)</f>
        <v>5</v>
      </c>
      <c r="C131" s="18">
        <f>WEEKDAY(Table3[[#This Row],[Fecha]])</f>
        <v>3</v>
      </c>
      <c r="D131" s="8">
        <v>4187</v>
      </c>
      <c r="E131" s="8">
        <v>3274</v>
      </c>
      <c r="F131" s="8">
        <v>546</v>
      </c>
      <c r="G131" s="8">
        <v>367</v>
      </c>
      <c r="H131" s="8">
        <v>2428</v>
      </c>
      <c r="I131">
        <v>34</v>
      </c>
    </row>
    <row r="132" spans="1:9" x14ac:dyDescent="0.2">
      <c r="A132" s="4">
        <v>44692</v>
      </c>
      <c r="B132" s="18">
        <f t="shared" si="2"/>
        <v>5</v>
      </c>
      <c r="C132" s="18">
        <f>WEEKDAY(Table3[[#This Row],[Fecha]])</f>
        <v>4</v>
      </c>
      <c r="D132" s="8">
        <v>2697</v>
      </c>
      <c r="E132" s="8">
        <v>2265</v>
      </c>
      <c r="F132" s="8">
        <v>431</v>
      </c>
      <c r="G132" s="8">
        <v>0</v>
      </c>
      <c r="H132" s="8">
        <v>1614</v>
      </c>
      <c r="I132">
        <v>33</v>
      </c>
    </row>
    <row r="133" spans="1:9" x14ac:dyDescent="0.2">
      <c r="A133" s="4">
        <v>44693</v>
      </c>
      <c r="B133" s="18">
        <f t="shared" si="2"/>
        <v>5</v>
      </c>
      <c r="C133" s="18">
        <f>WEEKDAY(Table3[[#This Row],[Fecha]])</f>
        <v>5</v>
      </c>
      <c r="D133" s="8">
        <v>5016</v>
      </c>
      <c r="E133" s="8">
        <v>3192</v>
      </c>
      <c r="F133" s="8">
        <v>1824</v>
      </c>
      <c r="G133" s="8">
        <v>0</v>
      </c>
      <c r="H133" s="8">
        <v>2935</v>
      </c>
      <c r="I133">
        <v>48</v>
      </c>
    </row>
    <row r="134" spans="1:9" x14ac:dyDescent="0.2">
      <c r="A134" s="4">
        <v>44694</v>
      </c>
      <c r="B134" s="18">
        <f t="shared" si="2"/>
        <v>5</v>
      </c>
      <c r="C134" s="18">
        <f>WEEKDAY(Table3[[#This Row],[Fecha]])</f>
        <v>6</v>
      </c>
      <c r="D134" s="8">
        <v>6800</v>
      </c>
      <c r="E134" s="8">
        <v>5259</v>
      </c>
      <c r="F134" s="8">
        <v>1541</v>
      </c>
      <c r="G134" s="8">
        <v>0</v>
      </c>
      <c r="H134" s="8">
        <v>4028</v>
      </c>
      <c r="I134">
        <v>42</v>
      </c>
    </row>
    <row r="135" spans="1:9" x14ac:dyDescent="0.2">
      <c r="A135" s="4">
        <v>44695</v>
      </c>
      <c r="B135" s="18">
        <f t="shared" si="2"/>
        <v>5</v>
      </c>
      <c r="C135" s="18">
        <f>WEEKDAY(Table3[[#This Row],[Fecha]])</f>
        <v>7</v>
      </c>
      <c r="D135" s="8">
        <v>6474</v>
      </c>
      <c r="E135" s="8">
        <v>4850</v>
      </c>
      <c r="F135" s="8">
        <v>1400</v>
      </c>
      <c r="G135" s="8">
        <v>223</v>
      </c>
      <c r="H135" s="8">
        <v>3760</v>
      </c>
      <c r="I135">
        <v>45</v>
      </c>
    </row>
    <row r="136" spans="1:9" x14ac:dyDescent="0.2">
      <c r="A136" s="4">
        <v>44696</v>
      </c>
      <c r="B136" s="18">
        <f t="shared" si="2"/>
        <v>5</v>
      </c>
      <c r="C136" s="18">
        <f>WEEKDAY(Table3[[#This Row],[Fecha]])</f>
        <v>1</v>
      </c>
      <c r="D136" s="8">
        <v>2278</v>
      </c>
      <c r="E136" s="8">
        <v>2011</v>
      </c>
      <c r="F136" s="8">
        <v>267</v>
      </c>
      <c r="G136" s="8">
        <v>0</v>
      </c>
      <c r="H136" s="8">
        <v>1349</v>
      </c>
      <c r="I136">
        <v>26</v>
      </c>
    </row>
    <row r="137" spans="1:9" x14ac:dyDescent="0.2">
      <c r="A137" s="4">
        <v>44697</v>
      </c>
      <c r="B137" s="18">
        <f t="shared" si="2"/>
        <v>5</v>
      </c>
      <c r="C137" s="18">
        <f>WEEKDAY(Table3[[#This Row],[Fecha]])</f>
        <v>2</v>
      </c>
      <c r="D137" s="8">
        <v>6836</v>
      </c>
      <c r="E137" s="8">
        <v>5687</v>
      </c>
      <c r="F137" s="8">
        <v>1148</v>
      </c>
      <c r="G137" s="8">
        <v>0</v>
      </c>
      <c r="H137" s="8">
        <v>4091</v>
      </c>
      <c r="I137">
        <v>60</v>
      </c>
    </row>
    <row r="138" spans="1:9" x14ac:dyDescent="0.2">
      <c r="A138" s="4">
        <v>44698</v>
      </c>
      <c r="B138" s="18">
        <f t="shared" si="2"/>
        <v>5</v>
      </c>
      <c r="C138" s="18">
        <f>WEEKDAY(Table3[[#This Row],[Fecha]])</f>
        <v>3</v>
      </c>
      <c r="D138" s="8">
        <v>2978</v>
      </c>
      <c r="E138" s="8">
        <v>2784</v>
      </c>
      <c r="F138" s="8">
        <v>194</v>
      </c>
      <c r="G138" s="8">
        <v>0</v>
      </c>
      <c r="H138" s="8">
        <v>1801</v>
      </c>
      <c r="I138">
        <v>36</v>
      </c>
    </row>
    <row r="139" spans="1:9" x14ac:dyDescent="0.2">
      <c r="A139" s="4">
        <v>44699</v>
      </c>
      <c r="B139" s="18">
        <f t="shared" si="2"/>
        <v>5</v>
      </c>
      <c r="C139" s="18">
        <f>WEEKDAY(Table3[[#This Row],[Fecha]])</f>
        <v>4</v>
      </c>
      <c r="D139" s="8">
        <v>3994</v>
      </c>
      <c r="E139" s="8">
        <v>2886</v>
      </c>
      <c r="F139" s="8">
        <v>1107</v>
      </c>
      <c r="G139" s="8">
        <v>0</v>
      </c>
      <c r="H139" s="8">
        <v>2329</v>
      </c>
      <c r="I139">
        <v>42</v>
      </c>
    </row>
    <row r="140" spans="1:9" x14ac:dyDescent="0.2">
      <c r="A140" s="4">
        <v>44700</v>
      </c>
      <c r="B140" s="18">
        <f t="shared" si="2"/>
        <v>5</v>
      </c>
      <c r="C140" s="18">
        <f>WEEKDAY(Table3[[#This Row],[Fecha]])</f>
        <v>5</v>
      </c>
      <c r="D140" s="8">
        <v>3841</v>
      </c>
      <c r="E140" s="8">
        <v>3668</v>
      </c>
      <c r="F140" s="8">
        <v>173</v>
      </c>
      <c r="G140" s="8">
        <v>0</v>
      </c>
      <c r="H140" s="8">
        <v>2337</v>
      </c>
      <c r="I140">
        <v>40</v>
      </c>
    </row>
    <row r="141" spans="1:9" x14ac:dyDescent="0.2">
      <c r="A141" s="4">
        <v>44701</v>
      </c>
      <c r="B141" s="18">
        <f t="shared" si="2"/>
        <v>5</v>
      </c>
      <c r="C141" s="18">
        <f>WEEKDAY(Table3[[#This Row],[Fecha]])</f>
        <v>6</v>
      </c>
      <c r="D141" s="8">
        <v>5256</v>
      </c>
      <c r="E141" s="8">
        <v>4466</v>
      </c>
      <c r="F141" s="8">
        <v>318</v>
      </c>
      <c r="G141" s="8">
        <v>470</v>
      </c>
      <c r="H141" s="8">
        <v>3190</v>
      </c>
      <c r="I141">
        <v>46</v>
      </c>
    </row>
    <row r="142" spans="1:9" x14ac:dyDescent="0.2">
      <c r="A142" s="4">
        <v>44702</v>
      </c>
      <c r="B142" s="18">
        <f t="shared" si="2"/>
        <v>5</v>
      </c>
      <c r="C142" s="18">
        <f>WEEKDAY(Table3[[#This Row],[Fecha]])</f>
        <v>7</v>
      </c>
      <c r="D142" s="8">
        <v>4876</v>
      </c>
      <c r="E142" s="8">
        <v>4139</v>
      </c>
      <c r="F142" s="8">
        <v>737</v>
      </c>
      <c r="G142" s="8">
        <v>0</v>
      </c>
      <c r="H142" s="8">
        <v>2880</v>
      </c>
      <c r="I142">
        <v>31</v>
      </c>
    </row>
    <row r="143" spans="1:9" x14ac:dyDescent="0.2">
      <c r="A143" s="4">
        <v>44703</v>
      </c>
      <c r="B143" s="18">
        <f t="shared" si="2"/>
        <v>5</v>
      </c>
      <c r="C143" s="18">
        <f>WEEKDAY(Table3[[#This Row],[Fecha]])</f>
        <v>1</v>
      </c>
      <c r="D143" s="8">
        <v>3625</v>
      </c>
      <c r="E143" s="8">
        <v>2363</v>
      </c>
      <c r="F143" s="8">
        <v>1261</v>
      </c>
      <c r="G143" s="8">
        <v>0</v>
      </c>
      <c r="H143" s="8">
        <v>2172</v>
      </c>
      <c r="I143">
        <v>24</v>
      </c>
    </row>
    <row r="144" spans="1:9" x14ac:dyDescent="0.2">
      <c r="A144" s="4">
        <v>44704</v>
      </c>
      <c r="B144" s="18">
        <f t="shared" si="2"/>
        <v>5</v>
      </c>
      <c r="C144" s="18">
        <f>WEEKDAY(Table3[[#This Row],[Fecha]])</f>
        <v>2</v>
      </c>
      <c r="D144" s="8">
        <v>2353</v>
      </c>
      <c r="E144" s="8">
        <v>1970</v>
      </c>
      <c r="F144" s="8">
        <v>382</v>
      </c>
      <c r="G144" s="8">
        <v>0</v>
      </c>
      <c r="H144" s="8">
        <v>1398</v>
      </c>
      <c r="I144">
        <v>34</v>
      </c>
    </row>
    <row r="145" spans="1:9" x14ac:dyDescent="0.2">
      <c r="A145" s="4">
        <v>44705</v>
      </c>
      <c r="B145" s="18">
        <f t="shared" si="2"/>
        <v>5</v>
      </c>
      <c r="C145" s="18">
        <f>WEEKDAY(Table3[[#This Row],[Fecha]])</f>
        <v>3</v>
      </c>
      <c r="D145" s="8">
        <v>2837</v>
      </c>
      <c r="E145" s="8">
        <v>2560</v>
      </c>
      <c r="F145" s="8">
        <v>277</v>
      </c>
      <c r="G145" s="8">
        <v>0</v>
      </c>
      <c r="H145" s="8">
        <v>1671</v>
      </c>
      <c r="I145">
        <v>33</v>
      </c>
    </row>
    <row r="146" spans="1:9" x14ac:dyDescent="0.2">
      <c r="A146" s="4">
        <v>44706</v>
      </c>
      <c r="B146" s="18">
        <f t="shared" si="2"/>
        <v>5</v>
      </c>
      <c r="C146" s="18">
        <f>WEEKDAY(Table3[[#This Row],[Fecha]])</f>
        <v>4</v>
      </c>
      <c r="D146" s="8">
        <v>6485</v>
      </c>
      <c r="E146" s="8">
        <v>5601</v>
      </c>
      <c r="F146" s="8">
        <v>884</v>
      </c>
      <c r="G146" s="8">
        <v>0</v>
      </c>
      <c r="H146" s="8">
        <v>3843</v>
      </c>
      <c r="I146">
        <v>53</v>
      </c>
    </row>
    <row r="147" spans="1:9" x14ac:dyDescent="0.2">
      <c r="A147" s="4">
        <v>44707</v>
      </c>
      <c r="B147" s="18">
        <f t="shared" si="2"/>
        <v>5</v>
      </c>
      <c r="C147" s="18">
        <f>WEEKDAY(Table3[[#This Row],[Fecha]])</f>
        <v>5</v>
      </c>
      <c r="D147" s="8">
        <v>4079</v>
      </c>
      <c r="E147" s="8">
        <v>3574</v>
      </c>
      <c r="F147" s="8">
        <v>505</v>
      </c>
      <c r="G147" s="8">
        <v>0</v>
      </c>
      <c r="H147" s="8">
        <v>2365</v>
      </c>
      <c r="I147">
        <v>35</v>
      </c>
    </row>
    <row r="148" spans="1:9" x14ac:dyDescent="0.2">
      <c r="A148" s="4">
        <v>44708</v>
      </c>
      <c r="B148" s="18">
        <f t="shared" si="2"/>
        <v>5</v>
      </c>
      <c r="C148" s="18">
        <f>WEEKDAY(Table3[[#This Row],[Fecha]])</f>
        <v>6</v>
      </c>
      <c r="D148" s="8">
        <v>6378</v>
      </c>
      <c r="E148" s="8">
        <v>4568</v>
      </c>
      <c r="F148" s="8">
        <v>903</v>
      </c>
      <c r="G148" s="8">
        <v>906</v>
      </c>
      <c r="H148" s="8">
        <v>3894</v>
      </c>
      <c r="I148">
        <v>60</v>
      </c>
    </row>
    <row r="149" spans="1:9" x14ac:dyDescent="0.2">
      <c r="A149" s="4">
        <v>44709</v>
      </c>
      <c r="B149" s="18">
        <f t="shared" si="2"/>
        <v>5</v>
      </c>
      <c r="C149" s="18">
        <f>WEEKDAY(Table3[[#This Row],[Fecha]])</f>
        <v>7</v>
      </c>
      <c r="D149" s="8">
        <v>3786</v>
      </c>
      <c r="E149" s="8">
        <v>3228</v>
      </c>
      <c r="F149" s="8">
        <v>376</v>
      </c>
      <c r="G149" s="8">
        <v>181</v>
      </c>
      <c r="H149" s="8">
        <v>2274</v>
      </c>
      <c r="I149">
        <v>42</v>
      </c>
    </row>
    <row r="150" spans="1:9" x14ac:dyDescent="0.2">
      <c r="A150" s="4">
        <v>44710</v>
      </c>
      <c r="B150" s="18">
        <f t="shared" si="2"/>
        <v>5</v>
      </c>
      <c r="C150" s="18">
        <f>WEEKDAY(Table3[[#This Row],[Fecha]])</f>
        <v>1</v>
      </c>
      <c r="D150" s="8">
        <v>3963</v>
      </c>
      <c r="E150" s="8">
        <v>3963</v>
      </c>
      <c r="F150" s="8">
        <v>0</v>
      </c>
      <c r="G150" s="8">
        <v>0</v>
      </c>
      <c r="H150" s="8">
        <v>2283</v>
      </c>
      <c r="I150">
        <v>34</v>
      </c>
    </row>
    <row r="151" spans="1:9" x14ac:dyDescent="0.2">
      <c r="A151" s="4">
        <v>44711</v>
      </c>
      <c r="B151" s="18">
        <f t="shared" si="2"/>
        <v>5</v>
      </c>
      <c r="C151" s="18">
        <f>WEEKDAY(Table3[[#This Row],[Fecha]])</f>
        <v>2</v>
      </c>
      <c r="D151" s="8">
        <v>4594</v>
      </c>
      <c r="E151" s="8">
        <v>3829</v>
      </c>
      <c r="F151" s="8">
        <v>765485</v>
      </c>
      <c r="G151" s="8">
        <v>0</v>
      </c>
      <c r="H151" s="8">
        <v>2681</v>
      </c>
      <c r="I151">
        <v>0</v>
      </c>
    </row>
    <row r="152" spans="1:9" x14ac:dyDescent="0.2">
      <c r="A152" s="4">
        <v>44712</v>
      </c>
      <c r="B152" s="18">
        <f t="shared" si="2"/>
        <v>5</v>
      </c>
      <c r="C152" s="18">
        <f>WEEKDAY(Table3[[#This Row],[Fecha]])</f>
        <v>3</v>
      </c>
      <c r="D152" s="8">
        <v>2905</v>
      </c>
      <c r="E152" s="8">
        <v>2672</v>
      </c>
      <c r="F152" s="8">
        <v>235715</v>
      </c>
      <c r="G152" s="8">
        <v>0</v>
      </c>
      <c r="H152" s="8">
        <v>1605</v>
      </c>
      <c r="I152">
        <v>0</v>
      </c>
    </row>
  </sheetData>
  <sortState xmlns:xlrd2="http://schemas.microsoft.com/office/spreadsheetml/2017/richdata2" ref="A2:H184">
    <sortCondition ref="A1:A184"/>
  </sortState>
  <dataConsolidate/>
  <phoneticPr fontId="3" type="noConversion"/>
  <conditionalFormatting sqref="D2:D152">
    <cfRule type="iconSet" priority="1">
      <iconSet iconSet="3Arrows">
        <cfvo type="percent" val="0"/>
        <cfvo type="num" val="1000"/>
        <cfvo type="num" val="3000"/>
      </iconSet>
    </cfRule>
  </conditionalFormatting>
  <dataValidations disablePrompts="1" count="2">
    <dataValidation type="list" allowBlank="1" showInputMessage="1" showErrorMessage="1" sqref="L2" xr:uid="{D40A91FD-9F9A-0949-B473-6F1B847E03BB}">
      <formula1>$L$19:$L$25</formula1>
    </dataValidation>
    <dataValidation type="list" allowBlank="1" showInputMessage="1" showErrorMessage="1" sqref="K2" xr:uid="{AD9A09A6-E0F6-8643-BA47-7F72BD794A2D}">
      <formula1>$M$14:$M$25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77505-48F0-3548-8212-E6074B2F8956}">
  <dimension ref="A1:C8"/>
  <sheetViews>
    <sheetView workbookViewId="0">
      <selection activeCell="B7" sqref="B7"/>
    </sheetView>
  </sheetViews>
  <sheetFormatPr baseColWidth="10" defaultRowHeight="15" x14ac:dyDescent="0.2"/>
  <cols>
    <col min="1" max="1" width="14" bestFit="1" customWidth="1"/>
    <col min="2" max="2" width="11.33203125" bestFit="1" customWidth="1"/>
    <col min="3" max="3" width="12.5" bestFit="1" customWidth="1"/>
    <col min="4" max="6" width="11.1640625" bestFit="1" customWidth="1"/>
    <col min="7" max="7" width="10" bestFit="1" customWidth="1"/>
  </cols>
  <sheetData>
    <row r="1" spans="1:3" x14ac:dyDescent="0.2">
      <c r="A1" s="15" t="s">
        <v>67</v>
      </c>
      <c r="B1" t="s">
        <v>80</v>
      </c>
      <c r="C1" t="s">
        <v>81</v>
      </c>
    </row>
    <row r="2" spans="1:3" x14ac:dyDescent="0.2">
      <c r="A2" s="16" t="s">
        <v>28</v>
      </c>
      <c r="B2">
        <v>221743836</v>
      </c>
      <c r="C2">
        <v>232445724</v>
      </c>
    </row>
    <row r="3" spans="1:3" x14ac:dyDescent="0.2">
      <c r="A3" s="16" t="s">
        <v>25</v>
      </c>
      <c r="B3">
        <v>283339346</v>
      </c>
      <c r="C3">
        <v>215842458</v>
      </c>
    </row>
    <row r="4" spans="1:3" x14ac:dyDescent="0.2">
      <c r="A4" s="16" t="s">
        <v>26</v>
      </c>
      <c r="B4">
        <v>147829224</v>
      </c>
      <c r="C4">
        <v>199239192</v>
      </c>
    </row>
    <row r="5" spans="1:3" x14ac:dyDescent="0.2">
      <c r="A5" s="16" t="s">
        <v>29</v>
      </c>
      <c r="B5">
        <v>30797755</v>
      </c>
      <c r="C5">
        <v>204773614</v>
      </c>
    </row>
    <row r="6" spans="1:3" x14ac:dyDescent="0.2">
      <c r="A6" s="16" t="s">
        <v>27</v>
      </c>
      <c r="B6">
        <v>271020244</v>
      </c>
      <c r="C6">
        <v>254583412</v>
      </c>
    </row>
    <row r="7" spans="1:3" x14ac:dyDescent="0.2">
      <c r="A7" s="16" t="s">
        <v>82</v>
      </c>
      <c r="B7">
        <v>103994</v>
      </c>
      <c r="C7">
        <v>43434545</v>
      </c>
    </row>
    <row r="8" spans="1:3" x14ac:dyDescent="0.2">
      <c r="A8" s="16" t="s">
        <v>68</v>
      </c>
      <c r="B8">
        <v>954834399</v>
      </c>
      <c r="C8">
        <v>1150318945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3CDF-F090-4714-AB49-78B50071C889}">
  <dimension ref="A1:I7"/>
  <sheetViews>
    <sheetView zoomScale="140" zoomScaleNormal="140" workbookViewId="0">
      <selection activeCell="G14" sqref="G14"/>
    </sheetView>
  </sheetViews>
  <sheetFormatPr baseColWidth="10" defaultColWidth="10.83203125" defaultRowHeight="15" x14ac:dyDescent="0.2"/>
  <sheetData>
    <row r="1" spans="1:9" x14ac:dyDescent="0.2">
      <c r="A1" t="s">
        <v>0</v>
      </c>
      <c r="B1" t="s">
        <v>30</v>
      </c>
      <c r="C1" t="s">
        <v>31</v>
      </c>
      <c r="D1" t="s">
        <v>32</v>
      </c>
      <c r="E1" t="s">
        <v>14</v>
      </c>
      <c r="F1" t="s">
        <v>15</v>
      </c>
      <c r="G1" t="s">
        <v>16</v>
      </c>
      <c r="H1" t="s">
        <v>17</v>
      </c>
      <c r="I1" t="s">
        <v>18</v>
      </c>
    </row>
    <row r="2" spans="1:9" x14ac:dyDescent="0.2">
      <c r="A2" t="s">
        <v>19</v>
      </c>
      <c r="B2" t="s">
        <v>24</v>
      </c>
      <c r="C2">
        <v>1</v>
      </c>
      <c r="D2" t="s">
        <v>25</v>
      </c>
      <c r="E2" s="3">
        <v>283339346</v>
      </c>
      <c r="F2" s="3">
        <v>215842458</v>
      </c>
      <c r="G2" s="3">
        <v>24285438</v>
      </c>
      <c r="H2" s="3">
        <v>225258699</v>
      </c>
      <c r="I2" s="3">
        <v>279732432</v>
      </c>
    </row>
    <row r="3" spans="1:9" x14ac:dyDescent="0.2">
      <c r="A3" t="s">
        <v>20</v>
      </c>
      <c r="B3" t="s">
        <v>24</v>
      </c>
      <c r="C3">
        <v>2</v>
      </c>
      <c r="D3" t="s">
        <v>26</v>
      </c>
      <c r="E3" s="3">
        <v>147829224</v>
      </c>
      <c r="F3" s="3">
        <v>199239192</v>
      </c>
      <c r="G3" s="3">
        <v>267139818</v>
      </c>
      <c r="H3" s="3">
        <v>201547257</v>
      </c>
      <c r="I3" s="3">
        <v>26641184</v>
      </c>
    </row>
    <row r="4" spans="1:9" x14ac:dyDescent="0.2">
      <c r="A4" t="s">
        <v>21</v>
      </c>
      <c r="B4" t="s">
        <v>24</v>
      </c>
      <c r="C4">
        <v>3</v>
      </c>
      <c r="D4" t="s">
        <v>27</v>
      </c>
      <c r="E4" s="3">
        <v>271020244</v>
      </c>
      <c r="F4" s="3">
        <v>254583412</v>
      </c>
      <c r="G4" s="3">
        <v>230711661</v>
      </c>
      <c r="H4" s="3">
        <v>23711442</v>
      </c>
      <c r="I4" s="3">
        <v>306373616</v>
      </c>
    </row>
    <row r="5" spans="1:9" x14ac:dyDescent="0.2">
      <c r="A5" t="s">
        <v>22</v>
      </c>
      <c r="B5" t="s">
        <v>24</v>
      </c>
      <c r="C5">
        <v>4</v>
      </c>
      <c r="D5" t="s">
        <v>28</v>
      </c>
      <c r="E5" s="3">
        <v>221743836</v>
      </c>
      <c r="F5" s="3">
        <v>232445724</v>
      </c>
      <c r="G5" s="3">
        <v>206426223</v>
      </c>
      <c r="H5" s="3">
        <v>248970141</v>
      </c>
      <c r="I5" s="3">
        <v>253091248</v>
      </c>
    </row>
    <row r="6" spans="1:9" x14ac:dyDescent="0.2">
      <c r="A6" t="s">
        <v>23</v>
      </c>
      <c r="B6" t="s">
        <v>24</v>
      </c>
      <c r="C6">
        <v>5</v>
      </c>
      <c r="D6" t="s">
        <v>29</v>
      </c>
      <c r="E6" s="3">
        <v>30797755</v>
      </c>
      <c r="F6" s="3">
        <v>204773614</v>
      </c>
      <c r="G6" s="3">
        <v>267139818</v>
      </c>
      <c r="H6" s="3">
        <v>272681583</v>
      </c>
      <c r="I6" s="3">
        <v>226450064</v>
      </c>
    </row>
    <row r="7" spans="1:9" x14ac:dyDescent="0.2">
      <c r="D7" t="s">
        <v>82</v>
      </c>
      <c r="E7" s="3">
        <v>103994</v>
      </c>
      <c r="F7" s="3">
        <v>43434545</v>
      </c>
      <c r="G7" s="3">
        <v>5634</v>
      </c>
      <c r="H7" s="3">
        <v>34345</v>
      </c>
      <c r="I7" s="3">
        <v>656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69ED-0A5B-4E85-A1DC-CF4116D4BB32}">
  <dimension ref="A1:G2"/>
  <sheetViews>
    <sheetView workbookViewId="0">
      <selection activeCell="E10" sqref="E10"/>
    </sheetView>
  </sheetViews>
  <sheetFormatPr baseColWidth="10" defaultColWidth="10.83203125" defaultRowHeight="15" x14ac:dyDescent="0.2"/>
  <cols>
    <col min="1" max="7" width="14.5" customWidth="1"/>
  </cols>
  <sheetData>
    <row r="1" spans="1:7" x14ac:dyDescent="0.2">
      <c r="A1" s="1" t="s">
        <v>1</v>
      </c>
      <c r="B1" s="1" t="s">
        <v>6</v>
      </c>
      <c r="C1" s="1" t="s">
        <v>3</v>
      </c>
      <c r="D1" s="1" t="s">
        <v>2</v>
      </c>
      <c r="E1" s="1" t="s">
        <v>0</v>
      </c>
      <c r="F1" s="1" t="s">
        <v>4</v>
      </c>
      <c r="G1" s="1" t="s">
        <v>5</v>
      </c>
    </row>
    <row r="2" spans="1:7" x14ac:dyDescent="0.2">
      <c r="C2" s="2">
        <v>45060</v>
      </c>
      <c r="D2" t="s">
        <v>37</v>
      </c>
      <c r="E2" t="s">
        <v>22</v>
      </c>
      <c r="F2" t="s">
        <v>57</v>
      </c>
      <c r="G2" t="s">
        <v>10</v>
      </c>
    </row>
  </sheetData>
  <dataValidations count="4">
    <dataValidation allowBlank="1" showInputMessage="1" showErrorMessage="1" promptTitle="Nombre y Apellido" prompt="Ingresar el nombre completo del cliente" sqref="A2" xr:uid="{11593B15-A4D2-6349-9DD9-BBA97CC1A7B6}"/>
    <dataValidation type="whole" operator="lessThan" allowBlank="1" showInputMessage="1" showErrorMessage="1" errorTitle="Teléfono" error="El número de teléfono no es valido" promptTitle="Número de contacto" prompt="Ingresa el numero de teléfono fijo o celular" sqref="B2" xr:uid="{CF1CBC2A-EC3F-9A49-BF62-8BE41CE19D1B}">
      <formula1>10</formula1>
    </dataValidation>
    <dataValidation type="date" operator="lessThanOrEqual" allowBlank="1" showInputMessage="1" showErrorMessage="1" sqref="C2" xr:uid="{9ED40B2B-7721-9843-AAD1-A4A97CB9C1E5}">
      <formula1>NOW()</formula1>
    </dataValidation>
    <dataValidation type="custom" allowBlank="1" showInputMessage="1" showErrorMessage="1" sqref="F2" xr:uid="{9F30AB61-D437-E646-8E7E-912F1B63AAE9}">
      <formula1>(OR(F2="Si",F2="No"))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96BD5EA-2BD2-A84C-999F-1EAB06FEFDC6}">
          <x14:formula1>
            <xm:f>'Ventas x vendedor'!$A$2:$A$6</xm:f>
          </x14:formula1>
          <xm:sqref>E2</xm:sqref>
        </x14:dataValidation>
        <x14:dataValidation type="list" allowBlank="1" showInputMessage="1" showErrorMessage="1" xr:uid="{2B0E2848-78CD-594C-8865-10AF9D0BD6C4}">
          <x14:formula1>
            <xm:f>Ventas!$E$1:$G$1</xm:f>
          </x14:formula1>
          <xm:sqref>G2</xm:sqref>
        </x14:dataValidation>
        <x14:dataValidation type="list" allowBlank="1" showInputMessage="1" showErrorMessage="1" xr:uid="{BD2CF3E9-24BD-D545-9E18-5C880EBBE6DE}">
          <x14:formula1>
            <xm:f>'Ventas x tienda'!$D$1:$F$1</xm:f>
          </x14:formula1>
          <xm:sqref>D2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A8C7-BE22-5F4F-B6BA-699B0F43FE7E}">
  <dimension ref="A1:D11"/>
  <sheetViews>
    <sheetView zoomScale="130" zoomScaleNormal="130" workbookViewId="0">
      <selection activeCell="L3" sqref="L3"/>
    </sheetView>
  </sheetViews>
  <sheetFormatPr baseColWidth="10" defaultRowHeight="15" x14ac:dyDescent="0.2"/>
  <cols>
    <col min="1" max="1" width="13" bestFit="1" customWidth="1"/>
    <col min="2" max="2" width="11.1640625" bestFit="1" customWidth="1"/>
    <col min="3" max="3" width="12.83203125" bestFit="1" customWidth="1"/>
    <col min="4" max="4" width="11.5" bestFit="1" customWidth="1"/>
  </cols>
  <sheetData>
    <row r="1" spans="1:4" x14ac:dyDescent="0.2">
      <c r="A1" s="15" t="s">
        <v>67</v>
      </c>
      <c r="B1" t="s">
        <v>85</v>
      </c>
      <c r="C1" t="s">
        <v>84</v>
      </c>
      <c r="D1" t="s">
        <v>86</v>
      </c>
    </row>
    <row r="2" spans="1:4" x14ac:dyDescent="0.2">
      <c r="A2" s="16" t="s">
        <v>45</v>
      </c>
      <c r="B2">
        <v>2336</v>
      </c>
      <c r="C2">
        <v>0</v>
      </c>
      <c r="D2">
        <v>2397</v>
      </c>
    </row>
    <row r="3" spans="1:4" x14ac:dyDescent="0.2">
      <c r="A3" s="16" t="s">
        <v>49</v>
      </c>
      <c r="B3">
        <v>2433</v>
      </c>
      <c r="C3">
        <v>2684</v>
      </c>
      <c r="D3">
        <v>2240</v>
      </c>
    </row>
    <row r="4" spans="1:4" x14ac:dyDescent="0.2">
      <c r="A4" s="16" t="s">
        <v>48</v>
      </c>
      <c r="B4">
        <v>550</v>
      </c>
      <c r="C4">
        <v>550</v>
      </c>
      <c r="D4">
        <v>550</v>
      </c>
    </row>
    <row r="5" spans="1:4" x14ac:dyDescent="0.2">
      <c r="A5" s="16" t="s">
        <v>56</v>
      </c>
      <c r="B5">
        <v>152</v>
      </c>
      <c r="C5">
        <v>119</v>
      </c>
      <c r="D5">
        <v>290</v>
      </c>
    </row>
    <row r="6" spans="1:4" x14ac:dyDescent="0.2">
      <c r="A6" s="16" t="s">
        <v>55</v>
      </c>
      <c r="B6">
        <v>305</v>
      </c>
      <c r="C6">
        <v>381</v>
      </c>
      <c r="D6">
        <v>62</v>
      </c>
    </row>
    <row r="7" spans="1:4" x14ac:dyDescent="0.2">
      <c r="A7" s="16" t="s">
        <v>51</v>
      </c>
      <c r="B7">
        <v>0</v>
      </c>
      <c r="C7">
        <v>2500</v>
      </c>
      <c r="D7">
        <v>2500</v>
      </c>
    </row>
    <row r="8" spans="1:4" x14ac:dyDescent="0.2">
      <c r="A8" s="16" t="s">
        <v>44</v>
      </c>
      <c r="B8">
        <v>9280</v>
      </c>
      <c r="C8">
        <v>9280</v>
      </c>
      <c r="D8">
        <v>9260</v>
      </c>
    </row>
    <row r="9" spans="1:4" x14ac:dyDescent="0.2">
      <c r="A9" s="16" t="s">
        <v>52</v>
      </c>
      <c r="B9">
        <v>0</v>
      </c>
      <c r="C9">
        <v>0</v>
      </c>
      <c r="D9">
        <v>660</v>
      </c>
    </row>
    <row r="10" spans="1:4" x14ac:dyDescent="0.2">
      <c r="A10" s="16" t="s">
        <v>54</v>
      </c>
      <c r="B10">
        <v>13100</v>
      </c>
      <c r="C10">
        <v>13050</v>
      </c>
      <c r="D10">
        <v>15760</v>
      </c>
    </row>
    <row r="11" spans="1:4" x14ac:dyDescent="0.2">
      <c r="A11" s="16" t="s">
        <v>68</v>
      </c>
      <c r="B11">
        <v>28156</v>
      </c>
      <c r="C11">
        <v>28564</v>
      </c>
      <c r="D11">
        <v>33719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D3D7-F34D-4A34-8B58-0EC02683C78D}">
  <dimension ref="A1:N18"/>
  <sheetViews>
    <sheetView zoomScale="134" zoomScaleNormal="134" workbookViewId="0">
      <selection activeCell="B2" sqref="B2:B10"/>
    </sheetView>
  </sheetViews>
  <sheetFormatPr baseColWidth="10" defaultColWidth="8.6640625" defaultRowHeight="15" x14ac:dyDescent="0.2"/>
  <cols>
    <col min="1" max="1" width="13" bestFit="1" customWidth="1"/>
    <col min="3" max="3" width="9.6640625" customWidth="1"/>
    <col min="13" max="13" width="11.33203125" customWidth="1"/>
  </cols>
  <sheetData>
    <row r="1" spans="1:14" x14ac:dyDescent="0.2">
      <c r="A1" t="s">
        <v>33</v>
      </c>
      <c r="B1" t="s">
        <v>39</v>
      </c>
      <c r="C1" t="s">
        <v>40</v>
      </c>
      <c r="D1" t="s">
        <v>41</v>
      </c>
      <c r="E1" t="s">
        <v>42</v>
      </c>
      <c r="F1" t="s">
        <v>43</v>
      </c>
      <c r="G1" t="s">
        <v>83</v>
      </c>
    </row>
    <row r="2" spans="1:14" x14ac:dyDescent="0.2">
      <c r="A2" t="s">
        <v>44</v>
      </c>
      <c r="B2" s="8">
        <v>9280</v>
      </c>
      <c r="C2" s="8">
        <v>9280</v>
      </c>
      <c r="D2" s="8">
        <v>9260</v>
      </c>
      <c r="E2">
        <v>9280</v>
      </c>
      <c r="F2">
        <v>9280</v>
      </c>
      <c r="G2" s="5">
        <f>SUM(B2:D2)</f>
        <v>27820</v>
      </c>
      <c r="L2" t="s">
        <v>108</v>
      </c>
      <c r="M2" t="s">
        <v>109</v>
      </c>
      <c r="N2" t="s">
        <v>110</v>
      </c>
    </row>
    <row r="3" spans="1:14" x14ac:dyDescent="0.2">
      <c r="A3" t="s">
        <v>45</v>
      </c>
      <c r="B3" s="8">
        <v>2336</v>
      </c>
      <c r="C3" s="8">
        <v>0</v>
      </c>
      <c r="D3" s="8">
        <v>2397</v>
      </c>
      <c r="E3" t="s">
        <v>46</v>
      </c>
      <c r="F3" t="s">
        <v>47</v>
      </c>
      <c r="G3" s="5">
        <f t="shared" ref="G3:G10" si="0">SUM(B3:D3)</f>
        <v>4733</v>
      </c>
      <c r="J3" t="str">
        <f>INDEX(Table2[#All],1,5)</f>
        <v>Abril</v>
      </c>
      <c r="L3" t="s">
        <v>52</v>
      </c>
      <c r="M3" t="s">
        <v>41</v>
      </c>
      <c r="N3" s="5">
        <f>INDEX(Table2[[Enero]:[Junio]],MATCH(L3,Table2[Mes],0),MATCH(M3,Table2[[#Headers],[Enero]:[Junio]],0))</f>
        <v>660</v>
      </c>
    </row>
    <row r="4" spans="1:14" x14ac:dyDescent="0.2">
      <c r="A4" t="s">
        <v>48</v>
      </c>
      <c r="B4" s="8">
        <v>550</v>
      </c>
      <c r="C4" s="8">
        <v>550</v>
      </c>
      <c r="D4" s="8">
        <v>550</v>
      </c>
      <c r="E4">
        <v>550</v>
      </c>
      <c r="F4">
        <v>550</v>
      </c>
      <c r="G4" s="5">
        <f t="shared" si="0"/>
        <v>1650</v>
      </c>
      <c r="J4">
        <f>MATCH("Enero",Table2[[#Headers],[Enero]:[Junio]],0)</f>
        <v>1</v>
      </c>
    </row>
    <row r="5" spans="1:14" x14ac:dyDescent="0.2">
      <c r="A5" t="s">
        <v>49</v>
      </c>
      <c r="B5" s="8">
        <v>2433</v>
      </c>
      <c r="C5" s="8">
        <v>2684</v>
      </c>
      <c r="D5" s="8">
        <v>2240</v>
      </c>
      <c r="E5">
        <v>2628</v>
      </c>
      <c r="F5" t="s">
        <v>50</v>
      </c>
      <c r="G5" s="5">
        <f t="shared" si="0"/>
        <v>7357</v>
      </c>
    </row>
    <row r="6" spans="1:14" x14ac:dyDescent="0.2">
      <c r="A6" t="s">
        <v>51</v>
      </c>
      <c r="B6" s="8">
        <v>0</v>
      </c>
      <c r="C6" s="8">
        <v>2500</v>
      </c>
      <c r="D6" s="8">
        <v>2500</v>
      </c>
      <c r="E6">
        <v>2500</v>
      </c>
      <c r="F6">
        <v>2500</v>
      </c>
      <c r="G6" s="5">
        <f t="shared" si="0"/>
        <v>5000</v>
      </c>
    </row>
    <row r="7" spans="1:14" x14ac:dyDescent="0.2">
      <c r="A7" t="s">
        <v>52</v>
      </c>
      <c r="B7" s="8">
        <v>0</v>
      </c>
      <c r="C7" s="8">
        <v>0</v>
      </c>
      <c r="D7" s="8">
        <v>660</v>
      </c>
      <c r="E7" t="s">
        <v>53</v>
      </c>
      <c r="F7" t="s">
        <v>53</v>
      </c>
      <c r="G7" s="5">
        <f t="shared" si="0"/>
        <v>660</v>
      </c>
    </row>
    <row r="8" spans="1:14" x14ac:dyDescent="0.2">
      <c r="A8" t="s">
        <v>54</v>
      </c>
      <c r="B8" s="8">
        <v>13100</v>
      </c>
      <c r="C8" s="8">
        <v>13050</v>
      </c>
      <c r="D8" s="8">
        <v>15760</v>
      </c>
      <c r="E8">
        <v>17432</v>
      </c>
      <c r="F8">
        <v>15620</v>
      </c>
      <c r="G8" s="5">
        <f t="shared" si="0"/>
        <v>41910</v>
      </c>
    </row>
    <row r="9" spans="1:14" x14ac:dyDescent="0.2">
      <c r="A9" t="s">
        <v>55</v>
      </c>
      <c r="B9" s="8">
        <v>305</v>
      </c>
      <c r="C9" s="8">
        <v>381</v>
      </c>
      <c r="D9" s="8">
        <v>62</v>
      </c>
      <c r="E9" t="s">
        <v>64</v>
      </c>
      <c r="F9">
        <v>700</v>
      </c>
      <c r="G9" s="5">
        <f t="shared" si="0"/>
        <v>748</v>
      </c>
    </row>
    <row r="10" spans="1:14" x14ac:dyDescent="0.2">
      <c r="A10" t="s">
        <v>56</v>
      </c>
      <c r="B10" s="8">
        <v>152</v>
      </c>
      <c r="C10" s="8">
        <v>119</v>
      </c>
      <c r="D10" s="8">
        <v>290</v>
      </c>
      <c r="E10">
        <v>917</v>
      </c>
      <c r="F10">
        <v>354</v>
      </c>
      <c r="G10" s="5">
        <f t="shared" si="0"/>
        <v>561</v>
      </c>
    </row>
    <row r="13" spans="1:14" x14ac:dyDescent="0.2">
      <c r="J13" t="s">
        <v>39</v>
      </c>
    </row>
    <row r="14" spans="1:14" x14ac:dyDescent="0.2">
      <c r="J14" t="s">
        <v>40</v>
      </c>
    </row>
    <row r="15" spans="1:14" x14ac:dyDescent="0.2">
      <c r="J15" t="s">
        <v>41</v>
      </c>
    </row>
    <row r="16" spans="1:14" x14ac:dyDescent="0.2">
      <c r="J16" t="s">
        <v>42</v>
      </c>
    </row>
    <row r="17" spans="10:10" x14ac:dyDescent="0.2">
      <c r="J17" t="s">
        <v>43</v>
      </c>
    </row>
    <row r="18" spans="10:10" x14ac:dyDescent="0.2">
      <c r="J18" t="s">
        <v>83</v>
      </c>
    </row>
  </sheetData>
  <dataValidations count="2">
    <dataValidation type="list" allowBlank="1" showInputMessage="1" showErrorMessage="1" sqref="M3" xr:uid="{F5F18516-8564-AC44-8110-7F7757149181}">
      <formula1>$J$13:$J$18</formula1>
    </dataValidation>
    <dataValidation type="list" allowBlank="1" showInputMessage="1" showErrorMessage="1" sqref="L3" xr:uid="{E9B2B289-D64B-7F4B-BDCD-B4F99A8C7AA7}">
      <formula1>$A$2:$A$10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Income Statement</vt:lpstr>
      <vt:lpstr>DashBoard</vt:lpstr>
      <vt:lpstr>Ventas x tienda</vt:lpstr>
      <vt:lpstr>Ventas</vt:lpstr>
      <vt:lpstr>G Venta x vendedor</vt:lpstr>
      <vt:lpstr>Ventas x vendedor</vt:lpstr>
      <vt:lpstr>Registro clientes</vt:lpstr>
      <vt:lpstr>G Gastos mensuales</vt:lpstr>
      <vt:lpstr>Gastos mensuales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Martinez Parente</dc:creator>
  <cp:lastModifiedBy>Junior Mosquera</cp:lastModifiedBy>
  <dcterms:created xsi:type="dcterms:W3CDTF">2022-06-28T15:47:06Z</dcterms:created>
  <dcterms:modified xsi:type="dcterms:W3CDTF">2023-05-29T12:58:43Z</dcterms:modified>
</cp:coreProperties>
</file>